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'Internships'!$A$1:$Q$18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u val="single"/>
    </font>
    <font>
      <b val="1"/>
      <sz val="13"/>
    </font>
    <font>
      <b val="1"/>
    </font>
    <font>
      <b val="1"/>
      <sz val="12"/>
    </font>
    <font>
      <b val="1"/>
      <sz val="1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DAEE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36" customWidth="1" min="3" max="3"/>
    <col width="14" customWidth="1" min="4" max="4"/>
    <col width="22" customWidth="1" min="5" max="5"/>
    <col width="10" customWidth="1" min="6" max="6"/>
    <col width="10" customWidth="1" min="7" max="7"/>
    <col width="24" customWidth="1" min="8" max="8"/>
    <col width="14" customWidth="1" min="9" max="9"/>
    <col width="12" customWidth="1" min="10" max="10"/>
    <col width="30" customWidth="1" min="11" max="11"/>
    <col width="44" customWidth="1" min="12" max="12"/>
    <col width="78" customWidth="1" min="13" max="13"/>
    <col width="32" customWidth="1" min="14" max="14"/>
    <col width="10" customWidth="1" min="15" max="15"/>
    <col width="40" customWidth="1" min="16" max="16"/>
    <col width="9" customWidth="1" min="17" max="17"/>
  </cols>
  <sheetData>
    <row r="1" ht="30" customHeight="1">
      <c r="A1" s="1" t="inlineStr">
        <is>
          <t>S.No</t>
        </is>
      </c>
      <c r="B1" s="1" t="inlineStr">
        <is>
          <t>Company</t>
        </is>
      </c>
      <c r="C1" s="1" t="inlineStr">
        <is>
          <t>Role / Title</t>
        </is>
      </c>
      <c r="D1" s="1" t="inlineStr">
        <is>
          <t>Track</t>
        </is>
      </c>
      <c r="E1" s="1" t="inlineStr">
        <is>
          <t>Location</t>
        </is>
      </c>
      <c r="F1" s="1" t="inlineStr">
        <is>
          <t>Mode</t>
        </is>
      </c>
      <c r="G1" s="1" t="inlineStr">
        <is>
          <t>Type</t>
        </is>
      </c>
      <c r="H1" s="1" t="inlineStr">
        <is>
          <t>Pay</t>
        </is>
      </c>
      <c r="I1" s="1" t="inlineStr">
        <is>
          <t>Duration</t>
        </is>
      </c>
      <c r="J1" s="1" t="inlineStr">
        <is>
          <t>Posted</t>
        </is>
      </c>
      <c r="K1" s="1" t="inlineStr">
        <is>
          <t>Eligibility</t>
        </is>
      </c>
      <c r="L1" s="1" t="inlineStr">
        <is>
          <t>Company Description</t>
        </is>
      </c>
      <c r="M1" s="1" t="inlineStr">
        <is>
          <t>Job Description</t>
        </is>
      </c>
      <c r="N1" s="1" t="inlineStr">
        <is>
          <t>Key Skills</t>
        </is>
      </c>
      <c r="O1" s="1" t="inlineStr">
        <is>
          <t>Fit</t>
        </is>
      </c>
      <c r="P1" s="1" t="inlineStr">
        <is>
          <t>Notes / Caveats</t>
        </is>
      </c>
      <c r="Q1" s="1" t="inlineStr">
        <is>
          <t>Apply</t>
        </is>
      </c>
    </row>
    <row r="2" ht="205" customHeight="1">
      <c r="A2" s="2" t="n">
        <v>1</v>
      </c>
      <c r="B2" s="3" t="inlineStr">
        <is>
          <t>Augurs Technologies</t>
        </is>
      </c>
      <c r="C2" s="3" t="inlineStr">
        <is>
          <t>AI/ML Intern</t>
        </is>
      </c>
      <c r="D2" s="4" t="inlineStr">
        <is>
          <t>Data Science</t>
        </is>
      </c>
      <c r="E2" s="3" t="inlineStr">
        <is>
          <t>Lucknow (Gomti Nagar)</t>
        </is>
      </c>
      <c r="F2" s="5" t="inlineStr">
        <is>
          <t>Onsite</t>
        </is>
      </c>
      <c r="G2" s="6" t="inlineStr">
        <is>
          <t>Service</t>
        </is>
      </c>
      <c r="H2" s="3" t="inlineStr">
        <is>
          <t>Not disclosed (unpaid/TBD)</t>
        </is>
      </c>
      <c r="I2" s="3" t="inlineStr">
        <is>
          <t>6 months</t>
        </is>
      </c>
      <c r="J2" s="3" t="inlineStr">
        <is>
          <t>2026-05-29</t>
        </is>
      </c>
      <c r="K2" s="3" t="inlineStr">
        <is>
          <t>B.Tech/BCA/MCA/B.Sc/M.Sc (IT/CS/DS/AI-ML). FINAL-YEAR &amp; recent grads welcome.</t>
        </is>
      </c>
      <c r="L2" s="3" t="inlineStr">
        <is>
          <t>Tech company doing software development, AI products, OTT solutions, web apps &amp; enterprise IT services.</t>
        </is>
      </c>
      <c r="M2" s="3" t="inlineStr">
        <is>
          <t>Develop AI/ML models for real apps with senior data scientists on live client projects; data collection, preprocessing &amp; analysis; build &amp; test ML algorithms &amp; predictive models; training, evaluation &amp; optimization; integrate ML into web/mobile apps; research new techniques; documentation.</t>
        </is>
      </c>
      <c r="N2" s="3" t="inlineStr">
        <is>
          <t>Python, ML algorithms, Pandas/NumPy/Scikit-learn, TensorFlow/PyTorch, stats, APIs/DBs</t>
        </is>
      </c>
      <c r="O2" s="7" t="inlineStr">
        <is>
          <t>Strong</t>
        </is>
      </c>
      <c r="P2" s="3" t="inlineStr">
        <is>
          <t>Closest to Kanpur (Lucknow ~80 km). Final-year explicitly welcome; FT conversion possible.</t>
        </is>
      </c>
      <c r="Q2" s="8">
        <f>HYPERLINK("https://to.indeed.com/aa2wxrrjcdkc","Apply")</f>
        <v/>
      </c>
    </row>
    <row r="3" ht="205" customHeight="1">
      <c r="A3" s="2" t="n">
        <v>2</v>
      </c>
      <c r="B3" s="3" t="inlineStr">
        <is>
          <t>DataFoundry</t>
        </is>
      </c>
      <c r="C3" s="3" t="inlineStr">
        <is>
          <t>AI/ML Intern</t>
        </is>
      </c>
      <c r="D3" s="4" t="inlineStr">
        <is>
          <t>Data Science</t>
        </is>
      </c>
      <c r="E3" s="3" t="inlineStr">
        <is>
          <t>Remote</t>
        </is>
      </c>
      <c r="F3" s="9" t="inlineStr">
        <is>
          <t>Remote</t>
        </is>
      </c>
      <c r="G3" s="10" t="inlineStr">
        <is>
          <t>Product</t>
        </is>
      </c>
      <c r="H3" s="3" t="inlineStr">
        <is>
          <t>Unpaid first 3 months -&gt; paid/FT on perf</t>
        </is>
      </c>
      <c r="I3" s="3" t="inlineStr">
        <is>
          <t>3 months</t>
        </is>
      </c>
      <c r="J3" s="3" t="inlineStr">
        <is>
          <t>2026-03-25</t>
        </is>
      </c>
      <c r="K3" s="3" t="inlineStr">
        <is>
          <t>B.Tech/M.Tech/BE (CSE/ECE/IT)/M.Sc-IT/MCA</t>
        </is>
      </c>
      <c r="L3" s="3" t="inlineStr">
        <is>
          <t>AI-first product company building AI-automation products for Life Sciences (Pharmacovigilance); ML across Healthcare, Utilities, Aerospace, Manufacturing, Banking.</t>
        </is>
      </c>
      <c r="M3" s="3" t="inlineStr">
        <is>
          <t>Design, develop &amp; deploy ML models &amp; AI solutions with data science &amp; engineering teams; data preprocessing, feature engineering, training &amp; evaluation; assist production deployment; debug model performance; document workflows; research latest AI/ML.</t>
        </is>
      </c>
      <c r="N3" s="3" t="inlineStr">
        <is>
          <t>Python, ML/DL, feature engineering, model evaluation &amp; deployment</t>
        </is>
      </c>
      <c r="O3" s="7" t="inlineStr">
        <is>
          <t>Strong</t>
        </is>
      </c>
      <c r="P3" s="3" t="inlineStr">
        <is>
          <t>Remote = ideal for Kanpur. Real product + conversion to paid after 3 months.</t>
        </is>
      </c>
      <c r="Q3" s="8">
        <f>HYPERLINK("https://to.indeed.com/aal6jtc8wq84","Apply")</f>
        <v/>
      </c>
    </row>
    <row r="4" ht="205" customHeight="1">
      <c r="A4" s="2" t="n">
        <v>3</v>
      </c>
      <c r="B4" s="3" t="inlineStr">
        <is>
          <t>Level AI</t>
        </is>
      </c>
      <c r="C4" s="3" t="inlineStr">
        <is>
          <t>Research Intern - Reinforcement Learning (RL)</t>
        </is>
      </c>
      <c r="D4" s="4" t="inlineStr">
        <is>
          <t>Data Science</t>
        </is>
      </c>
      <c r="E4" s="3" t="inlineStr">
        <is>
          <t>Noida</t>
        </is>
      </c>
      <c r="F4" s="5" t="inlineStr">
        <is>
          <t>Onsite</t>
        </is>
      </c>
      <c r="G4" s="10" t="inlineStr">
        <is>
          <t>Product</t>
        </is>
      </c>
      <c r="H4" s="3" t="inlineStr">
        <is>
          <t>Not disclosed (unpaid/TBD)</t>
        </is>
      </c>
      <c r="I4" s="3" t="inlineStr">
        <is>
          <t>Internship</t>
        </is>
      </c>
      <c r="J4" s="3" t="inlineStr">
        <is>
          <t>2026-03-31</t>
        </is>
      </c>
      <c r="K4" s="3" t="inlineStr">
        <is>
          <t>Pursuing/completed CS/AI/ML degree; strong RL fundamentals</t>
        </is>
      </c>
      <c r="L4" s="3" t="inlineStr">
        <is>
          <t>Series C Agentic-AI company building conversation intelligence + custom SLMs and RL systems for customer experience; team from Amazon, Google, Meta.</t>
        </is>
      </c>
      <c r="M4" s="3" t="inlineStr">
        <is>
          <t>Design &amp; build RL environments modelling customer-interaction workflows; build RL agents learning from interaction data/rewards/feedback; define reward models; structure production data into training datasets; experiment with multi-agent systems; deploy &amp; iterate at scale.</t>
        </is>
      </c>
      <c r="N4" s="3" t="inlineStr">
        <is>
          <t>Reinforcement Learning, probability/optimization, RLHF, LLM/SLM fine-tuning, Python</t>
        </is>
      </c>
      <c r="O4" s="7" t="inlineStr">
        <is>
          <t>Strong</t>
        </is>
      </c>
      <c r="P4" s="3" t="inlineStr">
        <is>
          <t>Top research role; aligns with your applied-ML/CLIP work. Prep RL basics before applying.</t>
        </is>
      </c>
      <c r="Q4" s="8">
        <f>HYPERLINK("https://to.indeed.com/aafy4ky82t9r","Apply")</f>
        <v/>
      </c>
    </row>
    <row r="5" ht="205" customHeight="1">
      <c r="A5" s="2" t="n">
        <v>4</v>
      </c>
      <c r="B5" s="3" t="inlineStr">
        <is>
          <t>MNJ Software</t>
        </is>
      </c>
      <c r="C5" s="3" t="inlineStr">
        <is>
          <t>Data Science Intern</t>
        </is>
      </c>
      <c r="D5" s="4" t="inlineStr">
        <is>
          <t>Data Science</t>
        </is>
      </c>
      <c r="E5" s="3" t="inlineStr">
        <is>
          <t>Remote</t>
        </is>
      </c>
      <c r="F5" s="9" t="inlineStr">
        <is>
          <t>Remote</t>
        </is>
      </c>
      <c r="G5" s="6" t="inlineStr">
        <is>
          <t>Service</t>
        </is>
      </c>
      <c r="H5" s="3" t="inlineStr">
        <is>
          <t>Reimbursement only (no fixed stipend)</t>
        </is>
      </c>
      <c r="I5" s="3" t="inlineStr">
        <is>
          <t>Permanent/Contract</t>
        </is>
      </c>
      <c r="J5" s="3" t="inlineStr">
        <is>
          <t>2026-02-26</t>
        </is>
      </c>
      <c r="K5" s="3" t="inlineStr">
        <is>
          <t>Student/grad in CS/Data Science/AI (Master's preferred)</t>
        </is>
      </c>
      <c r="L5" s="3" t="inlineStr">
        <is>
          <t>IT services, business solutions &amp; outsourcing org delivering custom software, integration &amp; testing via a Global Network Delivery Model.</t>
        </is>
      </c>
      <c r="M5" s="3" t="inlineStr">
        <is>
          <t>Build automated ETL pipelines on Azure functions; analyze captured data; support modelling &amp; optimisation; design Power BI dashboards. 9-hour shift within 6am-10pm OR 6pm-6am IST.</t>
        </is>
      </c>
      <c r="N5" s="3" t="inlineStr">
        <is>
          <t>Python, Tableau/Power BI, statistics, Azure, ETL</t>
        </is>
      </c>
      <c r="O5" s="11" t="inlineStr">
        <is>
          <t>Caution</t>
        </is>
      </c>
      <c r="P5" s="3" t="inlineStr">
        <is>
          <t>Remote but generic JD + rotating/night shifts. Confirm shift before applying.</t>
        </is>
      </c>
      <c r="Q5" s="8">
        <f>HYPERLINK("https://to.indeed.com/aatdnjh8lpdj","Apply")</f>
        <v/>
      </c>
    </row>
    <row r="6" ht="205" customHeight="1">
      <c r="A6" s="2" t="n">
        <v>5</v>
      </c>
      <c r="B6" s="3" t="inlineStr">
        <is>
          <t>BIG WINGS LLC</t>
        </is>
      </c>
      <c r="C6" s="3" t="inlineStr">
        <is>
          <t>AI/ML Intern</t>
        </is>
      </c>
      <c r="D6" s="4" t="inlineStr">
        <is>
          <t>Data Science</t>
        </is>
      </c>
      <c r="E6" s="3" t="inlineStr">
        <is>
          <t>Bengaluru</t>
        </is>
      </c>
      <c r="F6" s="5" t="inlineStr">
        <is>
          <t>Onsite</t>
        </is>
      </c>
      <c r="G6" s="10" t="inlineStr">
        <is>
          <t>Product</t>
        </is>
      </c>
      <c r="H6" s="3" t="inlineStr">
        <is>
          <t>Not disclosed (unpaid/TBD)</t>
        </is>
      </c>
      <c r="I6" s="3" t="inlineStr">
        <is>
          <t>3 months</t>
        </is>
      </c>
      <c r="J6" s="3" t="inlineStr">
        <is>
          <t>2026-06-08</t>
        </is>
      </c>
      <c r="K6" s="3" t="inlineStr">
        <is>
          <t>Pursuing/completed B.Tech/M.Tech/MCA (CS/DS/AI-ML)</t>
        </is>
      </c>
      <c r="L6" s="3" t="inlineStr">
        <is>
          <t>Fast-growing logistics-tech startup building a next-gen Trucking Management System (TMS) used in the US market; adding AI features (OCR, predictive analytics).</t>
        </is>
      </c>
      <c r="M6" s="3" t="inlineStr">
        <is>
          <t>Build &amp; train OCR models to extract data from logistics docs; data preprocessing, cleaning &amp; feature engineering; predictive models for driver performance &amp; route optimization; integrate AI modules into the TMS; experiment with frameworks; document.</t>
        </is>
      </c>
      <c r="N6" s="3" t="inlineStr">
        <is>
          <t>Python, TensorFlow/PyTorch/Scikit-learn, Pandas, OpenCV, OCR, SQL/NoSQL</t>
        </is>
      </c>
      <c r="O6" s="12" t="inlineStr">
        <is>
          <t>Good</t>
        </is>
      </c>
      <c r="P6" s="3" t="inlineStr">
        <is>
          <t>Real product used in US market; strong applied-ML scope. Requires relocation to Bengaluru.</t>
        </is>
      </c>
      <c r="Q6" s="8">
        <f>HYPERLINK("https://to.indeed.com/aa44zvj9wqfv","Apply")</f>
        <v/>
      </c>
    </row>
    <row r="7" ht="205" customHeight="1">
      <c r="A7" s="2" t="n">
        <v>6</v>
      </c>
      <c r="B7" s="3" t="inlineStr">
        <is>
          <t>Kramah Software</t>
        </is>
      </c>
      <c r="C7" s="3" t="inlineStr">
        <is>
          <t>AI Intern</t>
        </is>
      </c>
      <c r="D7" s="4" t="inlineStr">
        <is>
          <t>Data Science</t>
        </is>
      </c>
      <c r="E7" s="3" t="inlineStr">
        <is>
          <t>Bengaluru</t>
        </is>
      </c>
      <c r="F7" s="5" t="inlineStr">
        <is>
          <t>Onsite</t>
        </is>
      </c>
      <c r="G7" s="10" t="inlineStr">
        <is>
          <t>Product</t>
        </is>
      </c>
      <c r="H7" s="3" t="inlineStr">
        <is>
          <t>Not disclosed ("competitive, skill-based")</t>
        </is>
      </c>
      <c r="I7" s="3" t="inlineStr">
        <is>
          <t>3-6 months</t>
        </is>
      </c>
      <c r="J7" s="3" t="inlineStr">
        <is>
          <t>2026-04-10</t>
        </is>
      </c>
      <c r="K7" s="3" t="inlineStr">
        <is>
          <t>Degree in CS/Data Science/AI-ML or related</t>
        </is>
      </c>
      <c r="L7" s="3" t="inlineStr">
        <is>
          <t>13-year-old Bangalore EdTech product company building AI-powered higher-education platforms (ERP, exams, LMS); global universities &amp; governments.</t>
        </is>
      </c>
      <c r="M7" s="3" t="inlineStr">
        <is>
          <t>Assist designing, developing &amp; testing AI/ML models; data collection, cleaning, preprocessing &amp; analysis; research AI trends; collaborate on AI solutions; evaluate &amp; improve model performance; document.</t>
        </is>
      </c>
      <c r="N7" s="3" t="inlineStr">
        <is>
          <t>Python, ML (supervised/unsupervised), GenAI &amp; LLMs, DSA</t>
        </is>
      </c>
      <c r="O7" s="12" t="inlineStr">
        <is>
          <t>Good</t>
        </is>
      </c>
      <c r="P7" s="3" t="inlineStr">
        <is>
          <t>Stable product company; FT conversion possible. Stipend not fixed - confirm.</t>
        </is>
      </c>
      <c r="Q7" s="8">
        <f>HYPERLINK("https://to.indeed.com/aadcm27sl6fx","Apply")</f>
        <v/>
      </c>
    </row>
    <row r="8" ht="205" customHeight="1">
      <c r="A8" s="2" t="n">
        <v>7</v>
      </c>
      <c r="B8" s="3" t="inlineStr">
        <is>
          <t>Volvo Group</t>
        </is>
      </c>
      <c r="C8" s="3" t="inlineStr">
        <is>
          <t>Data Scientist Intern (RL)</t>
        </is>
      </c>
      <c r="D8" s="4" t="inlineStr">
        <is>
          <t>Data Science</t>
        </is>
      </c>
      <c r="E8" s="3" t="inlineStr">
        <is>
          <t>Bengaluru</t>
        </is>
      </c>
      <c r="F8" s="5" t="inlineStr">
        <is>
          <t>Onsite</t>
        </is>
      </c>
      <c r="G8" s="10" t="inlineStr">
        <is>
          <t>Product</t>
        </is>
      </c>
      <c r="H8" s="3" t="inlineStr">
        <is>
          <t>Not disclosed (unpaid/TBD)</t>
        </is>
      </c>
      <c r="I8" s="3" t="inlineStr">
        <is>
          <t>Internship</t>
        </is>
      </c>
      <c r="J8" s="3" t="inlineStr">
        <is>
          <t>2026-06-16</t>
        </is>
      </c>
      <c r="K8" s="3" t="inlineStr">
        <is>
          <t>Pursuing MASTER'S or PhD in CS/Data Science (higher bar)</t>
        </is>
      </c>
      <c r="L8" s="3" t="inlineStr">
        <is>
          <t>Global automotive &amp; industrial leader (Group Trucks Technology) building sustainable transport solutions with next-gen tech.</t>
        </is>
      </c>
      <c r="M8" s="3" t="inlineStr">
        <is>
          <t>Design &amp; implement ML models, esp. RL algorithms; analyze large datasets &amp; prepare data; optimize RL agents in simulated/real environments; integrate ML/RL into production pipelines/test benches; document &amp; present.</t>
        </is>
      </c>
      <c r="N8" s="3" t="inlineStr">
        <is>
          <t>Python, PyTorch/TensorFlow/Scikit-learn, RL, time-series (ANN/RNN/LSTM), SQL, Git</t>
        </is>
      </c>
      <c r="O8" s="11" t="inlineStr">
        <is>
          <t>Caution</t>
        </is>
      </c>
      <c r="P8" s="3" t="inlineStr">
        <is>
          <t>Great brand &amp; RL, but prefers Master's/PhD - above penultimate-year B.Tech.</t>
        </is>
      </c>
      <c r="Q8" s="8">
        <f>HYPERLINK("https://to.indeed.com/aacpszbw88pz","Apply")</f>
        <v/>
      </c>
    </row>
    <row r="9" ht="205" customHeight="1">
      <c r="A9" s="2" t="n">
        <v>8</v>
      </c>
      <c r="B9" s="3" t="inlineStr">
        <is>
          <t>GE Vernova</t>
        </is>
      </c>
      <c r="C9" s="3" t="inlineStr">
        <is>
          <t>Advanced Research Intern (AI/ML)</t>
        </is>
      </c>
      <c r="D9" s="4" t="inlineStr">
        <is>
          <t>Data Science</t>
        </is>
      </c>
      <c r="E9" s="3" t="inlineStr">
        <is>
          <t>Bengaluru</t>
        </is>
      </c>
      <c r="F9" s="5" t="inlineStr">
        <is>
          <t>Onsite</t>
        </is>
      </c>
      <c r="G9" s="10" t="inlineStr">
        <is>
          <t>Product</t>
        </is>
      </c>
      <c r="H9" s="3" t="inlineStr">
        <is>
          <t>Not disclosed + relocation assistance</t>
        </is>
      </c>
      <c r="I9" s="3" t="inlineStr">
        <is>
          <t>Internship</t>
        </is>
      </c>
      <c r="J9" s="3" t="inlineStr">
        <is>
          <t>2026-06-02</t>
        </is>
      </c>
      <c r="K9" s="3" t="inlineStr">
        <is>
          <t>Enrolled in MASTER'S or Ph.D. (CS/EE/Applied Math/DS)</t>
        </is>
      </c>
      <c r="L9" s="3" t="inlineStr">
        <is>
          <t>Central R&amp;D innovation engine for GE's energy businesses; 400+ researchers in decarbonization, renewables &amp; grid modernization.</t>
        </is>
      </c>
      <c r="M9" s="3" t="inlineStr">
        <is>
          <t>Design &amp; develop research experiments in time-series, machine vision &amp; deep learning; develop novel AI/ML algorithms in Python/PyTorch/TensorFlow; build &amp; evaluate models for time-series &amp; image data; literature reviews; technical reports/papers.</t>
        </is>
      </c>
      <c r="N9" s="3" t="inlineStr">
        <is>
          <t>Python, PyTorch/TensorFlow/Keras, ML/DL, NumPy/pandas/matplotlib/OpenCV</t>
        </is>
      </c>
      <c r="O9" s="11" t="inlineStr">
        <is>
          <t>Caution</t>
        </is>
      </c>
      <c r="P9" s="3" t="inlineStr">
        <is>
          <t>Premier R&amp;D + relocation, but prefers Master's/PhD. Stretch for B.Tech.</t>
        </is>
      </c>
      <c r="Q9" s="8">
        <f>HYPERLINK("https://to.indeed.com/aar9zlwyrwph","Apply")</f>
        <v/>
      </c>
    </row>
    <row r="10" ht="205" customHeight="1">
      <c r="A10" s="2" t="n">
        <v>9</v>
      </c>
      <c r="B10" s="3" t="inlineStr">
        <is>
          <t>Dozee</t>
        </is>
      </c>
      <c r="C10" s="3" t="inlineStr">
        <is>
          <t>Clinical Analyst Intern (RWE / Data)</t>
        </is>
      </c>
      <c r="D10" s="4" t="inlineStr">
        <is>
          <t>Data Science</t>
        </is>
      </c>
      <c r="E10" s="3" t="inlineStr">
        <is>
          <t>Bengaluru</t>
        </is>
      </c>
      <c r="F10" s="5" t="inlineStr">
        <is>
          <t>Onsite</t>
        </is>
      </c>
      <c r="G10" s="10" t="inlineStr">
        <is>
          <t>Product</t>
        </is>
      </c>
      <c r="H10" s="3" t="inlineStr">
        <is>
          <t>Not disclosed (unpaid/TBD)</t>
        </is>
      </c>
      <c r="I10" s="3" t="inlineStr">
        <is>
          <t>Internship</t>
        </is>
      </c>
      <c r="J10" s="3" t="inlineStr">
        <is>
          <t>2026-05-25</t>
        </is>
      </c>
      <c r="K10" s="3" t="inlineStr">
        <is>
          <t>Pursuing Life Sciences/Biostats/Public Health/Biomed; SQL+Python needed</t>
        </is>
      </c>
      <c r="L10" s="3" t="inlineStr">
        <is>
          <t>India's leading AI-powered contactless Remote Patient Monitoring &amp; Early Warning System; 300+ hospitals, FDA-cleared; Series A+.</t>
        </is>
      </c>
      <c r="M10" s="3" t="inlineStr">
        <is>
          <t>Analyze de-identified patient data to generate Real World Evidence; descriptive &amp; inferential stats (cohort, sensitivity/specificity, time-to-event) in SQL/Python/R; hypothesis-driven studies; literature reviews; build clinical-KPI dashboards; documentation.</t>
        </is>
      </c>
      <c r="N10" s="3" t="inlineStr">
        <is>
          <t>SQL, Python, R/SPSS, statistics, Excel, literature review</t>
        </is>
      </c>
      <c r="O10" s="11" t="inlineStr">
        <is>
          <t>Caution</t>
        </is>
      </c>
      <c r="P10" s="3" t="inlineStr">
        <is>
          <t>Healthtech RWE; eligibility leans life-sciences/clinical, not core CS.</t>
        </is>
      </c>
      <c r="Q10" s="8">
        <f>HYPERLINK("https://to.indeed.com/aaq2shcpw64p","Apply")</f>
        <v/>
      </c>
    </row>
    <row r="11" ht="205" customHeight="1">
      <c r="A11" s="2" t="n">
        <v>10</v>
      </c>
      <c r="B11" s="3" t="inlineStr">
        <is>
          <t>Teleperformance (TP)</t>
        </is>
      </c>
      <c r="C11" s="3" t="inlineStr">
        <is>
          <t>Data Analytics Intern</t>
        </is>
      </c>
      <c r="D11" s="4" t="inlineStr">
        <is>
          <t>Data Science</t>
        </is>
      </c>
      <c r="E11" s="3" t="inlineStr">
        <is>
          <t>Gurugram</t>
        </is>
      </c>
      <c r="F11" s="5" t="inlineStr">
        <is>
          <t>Onsite</t>
        </is>
      </c>
      <c r="G11" s="6" t="inlineStr">
        <is>
          <t>Service</t>
        </is>
      </c>
      <c r="H11" s="3" t="inlineStr">
        <is>
          <t>Not disclosed (unpaid/TBD)</t>
        </is>
      </c>
      <c r="I11" s="3" t="inlineStr">
        <is>
          <t>Internship</t>
        </is>
      </c>
      <c r="J11" s="3" t="inlineStr">
        <is>
          <t>2026-06-02</t>
        </is>
      </c>
      <c r="K11" s="3" t="inlineStr">
        <is>
          <t>Basic technical/vocational background; trainable</t>
        </is>
      </c>
      <c r="L11" s="3" t="inlineStr">
        <is>
          <t>Global customer-experience (CX) management &amp; BPO leader providing omnichannel support to top companies.</t>
        </is>
      </c>
      <c r="M11" s="3" t="inlineStr">
        <is>
          <t>General analytics &amp; statistical modeling on business datasets; data requirements, collection, cleaning, analysis, modeling &amp; visualization; identify patterns/trends; inputs for Data Science &amp; Big Data projects; automation.</t>
        </is>
      </c>
      <c r="N11" s="3" t="inlineStr">
        <is>
          <t>Data cleaning, statistics, modeling, visualization</t>
        </is>
      </c>
      <c r="O11" s="12" t="inlineStr">
        <is>
          <t>Good</t>
        </is>
      </c>
      <c r="P11" s="3" t="inlineStr">
        <is>
          <t>Big brand on resume + broad analytics exposure; entry-level depth.</t>
        </is>
      </c>
      <c r="Q11" s="8">
        <f>HYPERLINK("https://to.indeed.com/aarn7cybvbtl","Apply")</f>
        <v/>
      </c>
    </row>
    <row r="12" ht="205" customHeight="1">
      <c r="A12" s="2" t="n">
        <v>11</v>
      </c>
      <c r="B12" s="3" t="inlineStr">
        <is>
          <t>GeoTechnoSoft</t>
        </is>
      </c>
      <c r="C12" s="3" t="inlineStr">
        <is>
          <t>Python / Data Science Intern</t>
        </is>
      </c>
      <c r="D12" s="4" t="inlineStr">
        <is>
          <t>Data Science</t>
        </is>
      </c>
      <c r="E12" s="3" t="inlineStr">
        <is>
          <t>Noida (listing also mentions Patna)</t>
        </is>
      </c>
      <c r="F12" s="5" t="inlineStr">
        <is>
          <t>Onsite</t>
        </is>
      </c>
      <c r="G12" s="6" t="inlineStr">
        <is>
          <t>Service</t>
        </is>
      </c>
      <c r="H12" s="3" t="inlineStr">
        <is>
          <t>Not disclosed (unpaid/TBD)</t>
        </is>
      </c>
      <c r="I12" s="3" t="inlineStr">
        <is>
          <t>Internship</t>
        </is>
      </c>
      <c r="J12" s="3" t="inlineStr">
        <is>
          <t>2026-06-15</t>
        </is>
      </c>
      <c r="K12" s="3" t="inlineStr">
        <is>
          <t>Strong Python; data-analysis familiarity a plus</t>
        </is>
      </c>
      <c r="L12" s="3" t="inlineStr">
        <is>
          <t>IT-services company with a data-science team.</t>
        </is>
      </c>
      <c r="M12" s="3" t="inlineStr">
        <is>
          <t>Assist data scientists with data analysis, ML exploration &amp; insightful reports; hands-on experience; strengthen Python; potential full-time on completion.</t>
        </is>
      </c>
      <c r="N12" s="3" t="inlineStr">
        <is>
          <t>Python, data analysis, Power BI/DAX, SQL, data structures</t>
        </is>
      </c>
      <c r="O12" s="11" t="inlineStr">
        <is>
          <t>Caution</t>
        </is>
      </c>
      <c r="P12" s="3" t="inlineStr">
        <is>
          <t>Title says Patna(onsite) but location shows Noida - confirm work city.</t>
        </is>
      </c>
      <c r="Q12" s="8">
        <f>HYPERLINK("https://to.indeed.com/aa4wxllvd4yl","Apply")</f>
        <v/>
      </c>
    </row>
    <row r="13" ht="205" customHeight="1">
      <c r="A13" s="2" t="n">
        <v>12</v>
      </c>
      <c r="B13" s="3" t="inlineStr">
        <is>
          <t>Vedanta Mobility (Kodukula)</t>
        </is>
      </c>
      <c r="C13" s="3" t="inlineStr">
        <is>
          <t>AI/ML Intern - Prototype (Founder Intern)</t>
        </is>
      </c>
      <c r="D13" s="4" t="inlineStr">
        <is>
          <t>Data Science</t>
        </is>
      </c>
      <c r="E13" s="3" t="inlineStr">
        <is>
          <t>Bengaluru</t>
        </is>
      </c>
      <c r="F13" s="13" t="inlineStr">
        <is>
          <t>Hybrid</t>
        </is>
      </c>
      <c r="G13" s="10" t="inlineStr">
        <is>
          <t>Product</t>
        </is>
      </c>
      <c r="H13" s="3" t="inlineStr">
        <is>
          <t>UNPAID (Rs 1-2/month token)</t>
        </is>
      </c>
      <c r="I13" s="3" t="inlineStr">
        <is>
          <t>8-12 weeks</t>
        </is>
      </c>
      <c r="J13" s="3" t="inlineStr">
        <is>
          <t>2026-06-10</t>
        </is>
      </c>
      <c r="K13" s="3" t="inlineStr">
        <is>
          <t>AI/Data Science interns from TIER-2 cities only (Kanpur qualifies)</t>
        </is>
      </c>
      <c r="L13" s="3" t="inlineStr">
        <is>
          <t>Deep-tech AI startup (DIGNIPATH) building an AI-driven global-mobility &amp; visa-intelligence platform; under review by MOI, UAE.</t>
        </is>
      </c>
      <c r="M13" s="3" t="inlineStr">
        <is>
          <t>Build a small AI proof-of-concept/demo; develop an intent-analysis model; create a prototype dashboard (Python/Streamlit); assist AI architecture &amp; research docs. Possible UAE opportunity if prototype succeeds.</t>
        </is>
      </c>
      <c r="N13" s="3" t="inlineStr">
        <is>
          <t>Python, ML basics, data analysis, Streamlit/Scikit-learn</t>
        </is>
      </c>
      <c r="O13" s="11" t="inlineStr">
        <is>
          <t>Caution</t>
        </is>
      </c>
      <c r="P13" s="3" t="inlineStr">
        <is>
          <t>Truly UNPAID (Rs 1-2 token); Tier-2 only (Kanpur eligible). Experience play, not income.</t>
        </is>
      </c>
      <c r="Q13" s="8">
        <f>HYPERLINK("https://to.indeed.com/aadvxjvgxtrx","Apply")</f>
        <v/>
      </c>
    </row>
    <row r="14" ht="205" customHeight="1">
      <c r="A14" s="2" t="n">
        <v>13</v>
      </c>
      <c r="B14" s="3" t="inlineStr">
        <is>
          <t>Algorithus</t>
        </is>
      </c>
      <c r="C14" s="3" t="inlineStr">
        <is>
          <t>Software Developer Intern (JavaScript, Python, React.js)</t>
        </is>
      </c>
      <c r="D14" s="14" t="inlineStr">
        <is>
          <t>Software Dev</t>
        </is>
      </c>
      <c r="E14" s="3" t="inlineStr">
        <is>
          <t>Lucknow</t>
        </is>
      </c>
      <c r="F14" s="5" t="inlineStr">
        <is>
          <t>Onsite</t>
        </is>
      </c>
      <c r="G14" s="6" t="inlineStr">
        <is>
          <t>Service</t>
        </is>
      </c>
      <c r="H14" s="3" t="inlineStr">
        <is>
          <t>Not disclosed (unpaid/TBD)</t>
        </is>
      </c>
      <c r="I14" s="3" t="inlineStr">
        <is>
          <t>6 months</t>
        </is>
      </c>
      <c r="J14" s="3" t="inlineStr">
        <is>
          <t>2026-02-27</t>
        </is>
      </c>
      <c r="K14" s="3" t="inlineStr">
        <is>
          <t>Pursuing/completed B/M in CS/IT/Software Engineering</t>
        </is>
      </c>
      <c r="L14" s="3" t="inlineStr">
        <is>
          <t>Software development company building web applications &amp; products.</t>
        </is>
      </c>
      <c r="M14" s="3" t="inlineStr">
        <is>
          <t>Full-stack development: React.js front-end + Python backend (Django/FastAPI/Flask) for APIs &amp; DB; integrate RESTful APIs &amp; 3rd-party services; debugging, troubleshooting &amp; performance optimization; unit testing; technical documentation.</t>
        </is>
      </c>
      <c r="N14" s="3" t="inlineStr">
        <is>
          <t>JavaScript, Python, React.js, Django/FastAPI/Flask, REST, SQL/MySQL/PostgreSQL/MongoDB, Git</t>
        </is>
      </c>
      <c r="O14" s="7" t="inlineStr">
        <is>
          <t>Strong</t>
        </is>
      </c>
      <c r="P14" s="3" t="inlineStr">
        <is>
          <t>Lucknow (~80 km) + matches your FastAPI/Django/JS stack almost exactly.</t>
        </is>
      </c>
      <c r="Q14" s="8">
        <f>HYPERLINK("https://to.indeed.com/aadt4whqvbdg","Apply")</f>
        <v/>
      </c>
    </row>
    <row r="15" ht="205" customHeight="1">
      <c r="A15" s="2" t="n">
        <v>14</v>
      </c>
      <c r="B15" s="3" t="inlineStr">
        <is>
          <t>Google</t>
        </is>
      </c>
      <c r="C15" s="3" t="inlineStr">
        <is>
          <t>Software Engineering Intern, Summer 2027</t>
        </is>
      </c>
      <c r="D15" s="14" t="inlineStr">
        <is>
          <t>Software Dev</t>
        </is>
      </c>
      <c r="E15" s="3" t="inlineStr">
        <is>
          <t>Bengaluru / Hyderabad / Pune</t>
        </is>
      </c>
      <c r="F15" s="5" t="inlineStr">
        <is>
          <t>Onsite</t>
        </is>
      </c>
      <c r="G15" s="10" t="inlineStr">
        <is>
          <t>Product</t>
        </is>
      </c>
      <c r="H15" s="3" t="inlineStr">
        <is>
          <t>Not disclosed (top-tier)</t>
        </is>
      </c>
      <c r="I15" s="3" t="inlineStr">
        <is>
          <t>10-12 weeks (May/Jun 2027)</t>
        </is>
      </c>
      <c r="J15" s="3" t="inlineStr">
        <is>
          <t>2026-06-15</t>
        </is>
      </c>
      <c r="K15" s="3" t="inlineStr">
        <is>
          <t>Pursuing Bachelor's/Master's/Dual in CS; penultimate year preferred</t>
        </is>
      </c>
      <c r="L15" s="3" t="inlineStr">
        <is>
          <t>Global big-tech product company (Search, Ads, Android, Chrome, YouTube, Cloud).</t>
        </is>
      </c>
      <c r="M15" s="3" t="inlineStr">
        <is>
          <t>Design, deploy &amp; maintain end-to-end infrastructure for large-scale systems; develop scalable engineering solutions for Google products; build AI-integrated software; apply CS fundamentals to real-world challenges. Submit resume + transcript.</t>
        </is>
      </c>
      <c r="N15" s="3" t="inlineStr">
        <is>
          <t>DSA, software design, Java/C++/Python/Go/JS; distributed systems/ML a plus</t>
        </is>
      </c>
      <c r="O15" s="7" t="inlineStr">
        <is>
          <t>Strong</t>
        </is>
      </c>
      <c r="P15" s="3" t="inlineStr">
        <is>
          <t>PERFECT timing: 2027 grad = penultimate year. Your Top-1.5% LeetCode + production projects fit. APPLY BEFORE JUN 28, 2026.</t>
        </is>
      </c>
      <c r="Q15" s="8">
        <f>HYPERLINK("https://to.indeed.com/aahzvgyp7ld9","Apply")</f>
        <v/>
      </c>
    </row>
    <row r="16" ht="205" customHeight="1">
      <c r="A16" s="2" t="n">
        <v>15</v>
      </c>
      <c r="B16" s="3" t="inlineStr">
        <is>
          <t>CloudSEK</t>
        </is>
      </c>
      <c r="C16" s="3" t="inlineStr">
        <is>
          <t>SDE - Backend - Intern</t>
        </is>
      </c>
      <c r="D16" s="14" t="inlineStr">
        <is>
          <t>Software Dev</t>
        </is>
      </c>
      <c r="E16" s="3" t="inlineStr">
        <is>
          <t>Bengaluru</t>
        </is>
      </c>
      <c r="F16" s="5" t="inlineStr">
        <is>
          <t>Onsite</t>
        </is>
      </c>
      <c r="G16" s="10" t="inlineStr">
        <is>
          <t>Product</t>
        </is>
      </c>
      <c r="H16" s="3" t="inlineStr">
        <is>
          <t>Not disclosed (discussed at interview)</t>
        </is>
      </c>
      <c r="I16" s="3" t="inlineStr">
        <is>
          <t>Internship</t>
        </is>
      </c>
      <c r="J16" s="3" t="inlineStr">
        <is>
          <t>2026-03-04</t>
        </is>
      </c>
      <c r="K16" s="3" t="inlineStr">
        <is>
          <t>Pursuing/completed CS/Software Engineering or related</t>
        </is>
      </c>
      <c r="L16" s="3" t="inlineStr">
        <is>
          <t>One of India's most trusted cybersecurity PRODUCT companies (XVigil/BeVigil/SVigil); AI threat detection; Series A ($19M, 2025); NASSCOM award winner.</t>
        </is>
      </c>
      <c r="M16" s="3" t="inlineStr">
        <is>
          <t>Design, develop &amp; maintain backend systems for cybersecurity products; write clean scalable code in NodeJS or Go; collaborate with FE devs, data scientists &amp; PMs; code reviews; debug &amp; resolve defects; documentation.</t>
        </is>
      </c>
      <c r="N16" s="3" t="inlineStr">
        <is>
          <t>NodeJS or Go, backend frameworks, APIs, SQL; (Docker/K8s/AWS/CI-CD a plus)</t>
        </is>
      </c>
      <c r="O16" s="7" t="inlineStr">
        <is>
          <t>Strong</t>
        </is>
      </c>
      <c r="P16" s="3" t="inlineStr">
        <is>
          <t>Excellent product company; your DSA/system-design fits. Note: stack is Node/Go (not Python); your Docker/cloud is a plus.</t>
        </is>
      </c>
      <c r="Q16" s="8">
        <f>HYPERLINK("https://to.indeed.com/aa8prr74yqfy","Apply")</f>
        <v/>
      </c>
    </row>
    <row r="17" ht="205" customHeight="1">
      <c r="A17" s="2" t="n">
        <v>16</v>
      </c>
      <c r="B17" s="3" t="inlineStr">
        <is>
          <t>Castus Info</t>
        </is>
      </c>
      <c r="C17" s="3" t="inlineStr">
        <is>
          <t>Software Developer Intern (Python)</t>
        </is>
      </c>
      <c r="D17" s="14" t="inlineStr">
        <is>
          <t>Software Dev</t>
        </is>
      </c>
      <c r="E17" s="3" t="inlineStr">
        <is>
          <t>Hyderabad</t>
        </is>
      </c>
      <c r="F17" s="5" t="inlineStr">
        <is>
          <t>Onsite</t>
        </is>
      </c>
      <c r="G17" s="6" t="inlineStr">
        <is>
          <t>Service</t>
        </is>
      </c>
      <c r="H17" s="3" t="inlineStr">
        <is>
          <t>Not disclosed (unpaid/TBD)</t>
        </is>
      </c>
      <c r="I17" s="3" t="inlineStr">
        <is>
          <t>Internship</t>
        </is>
      </c>
      <c r="J17" s="3" t="inlineStr">
        <is>
          <t>2026-02-26</t>
        </is>
      </c>
      <c r="K17" s="3" t="inlineStr">
        <is>
          <t>Regular B.Tech/BE/M.Tech/MCA/M.Sc (CS)</t>
        </is>
      </c>
      <c r="L17" s="3" t="inlineStr">
        <is>
          <t>Hyderabad IT-services company building Python web applications.</t>
        </is>
      </c>
      <c r="M17" s="3" t="inlineStr">
        <is>
          <t>Work in Python with a web framework (Django/Flask); use ORM libraries; integrate multiple data sources &amp; databases; server-side templating (Jinja2/Mako); basic front-end (JS/HTML5/CSS3); event-driven programming.</t>
        </is>
      </c>
      <c r="N17" s="3" t="inlineStr">
        <is>
          <t>Python, Django/Flask, ORM, SQL, JS/HTML/CSS</t>
        </is>
      </c>
      <c r="O17" s="12" t="inlineStr">
        <is>
          <t>Good</t>
        </is>
      </c>
      <c r="P17" s="3" t="inlineStr">
        <is>
          <t>Backend/Python - directly matches your Django/FastAPI experience.</t>
        </is>
      </c>
      <c r="Q17" s="8">
        <f>HYPERLINK("https://to.indeed.com/aay8rfp8mdt6","Apply")</f>
        <v/>
      </c>
    </row>
    <row r="18" ht="205" customHeight="1">
      <c r="A18" s="2" t="n">
        <v>17</v>
      </c>
      <c r="B18" s="3" t="inlineStr">
        <is>
          <t>Data Channel</t>
        </is>
      </c>
      <c r="C18" s="3" t="inlineStr">
        <is>
          <t>Back End Developer (Intern)</t>
        </is>
      </c>
      <c r="D18" s="14" t="inlineStr">
        <is>
          <t>Software Dev</t>
        </is>
      </c>
      <c r="E18" s="3" t="inlineStr">
        <is>
          <t>Gurugram</t>
        </is>
      </c>
      <c r="F18" s="5" t="inlineStr">
        <is>
          <t>Onsite</t>
        </is>
      </c>
      <c r="G18" s="10" t="inlineStr">
        <is>
          <t>Product</t>
        </is>
      </c>
      <c r="H18" s="3" t="inlineStr">
        <is>
          <t>Not disclosed (unpaid/TBD)</t>
        </is>
      </c>
      <c r="I18" s="3" t="inlineStr">
        <is>
          <t>Part-time</t>
        </is>
      </c>
      <c r="J18" s="3" t="inlineStr">
        <is>
          <t>2026-02-19</t>
        </is>
      </c>
      <c r="K18" s="3" t="inlineStr">
        <is>
          <t>Pursuing/completed bachelor's in related field</t>
        </is>
      </c>
      <c r="L18" s="3" t="inlineStr">
        <is>
          <t>Company building a B2B analytics product for the Digital &amp; Retail space.</t>
        </is>
      </c>
      <c r="M18" s="3" t="inlineStr">
        <is>
          <t>Design, develop &amp; enhance B2B analytics product backend (DB + front-end); full-lifecycle web apps on LAMP stack; understand business requirements; deliver high-quality software.</t>
        </is>
      </c>
      <c r="N18" s="3" t="inlineStr">
        <is>
          <t>PHP, Python (Django/Flask), SQL (MySQL/PostgreSQL), OOP, design patterns, JS/HTML/CSS</t>
        </is>
      </c>
      <c r="O18" s="12" t="inlineStr">
        <is>
          <t>Good</t>
        </is>
      </c>
      <c r="P18" s="3" t="inlineStr">
        <is>
          <t>Backend role at a product company; note LAMP/PHP-leaning, Python is a plus. Part-time.</t>
        </is>
      </c>
      <c r="Q18" s="8">
        <f>HYPERLINK("https://to.indeed.com/aagth8lv8f68","Apply")</f>
        <v/>
      </c>
    </row>
  </sheetData>
  <autoFilter ref="A1:Q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5" t="inlineStr">
        <is>
          <t>Internships (Unpaid) - Abhishek Chaurasiya</t>
        </is>
      </c>
    </row>
    <row r="3">
      <c r="A3" s="16" t="inlineStr">
        <is>
          <t>Metric</t>
        </is>
      </c>
      <c r="B3" s="16" t="inlineStr">
        <is>
          <t>Value</t>
        </is>
      </c>
    </row>
    <row r="4">
      <c r="A4" t="inlineStr">
        <is>
          <t>Total (unpaid / no-stipend)</t>
        </is>
      </c>
      <c r="B4" t="n">
        <v>17</v>
      </c>
    </row>
    <row r="5">
      <c r="A5" t="inlineStr">
        <is>
          <t>Data Science track</t>
        </is>
      </c>
      <c r="B5">
        <f>COUNTIF(Internships!D2:D18,"Data Science")</f>
        <v/>
      </c>
    </row>
    <row r="6">
      <c r="A6" t="inlineStr">
        <is>
          <t>Software Dev track</t>
        </is>
      </c>
      <c r="B6">
        <f>COUNTIF(Internships!D2:D18,"Software Dev")</f>
        <v/>
      </c>
    </row>
    <row r="7">
      <c r="A7" t="inlineStr">
        <is>
          <t>Remote</t>
        </is>
      </c>
      <c r="B7">
        <f>COUNTIF(Internships!F2:F18,"Remote")</f>
        <v/>
      </c>
    </row>
    <row r="8">
      <c r="A8" t="inlineStr">
        <is>
          <t>Onsite</t>
        </is>
      </c>
      <c r="B8">
        <f>COUNTIF(Internships!F2:F18,"Onsite")</f>
        <v/>
      </c>
    </row>
    <row r="9">
      <c r="A9" t="inlineStr">
        <is>
          <t>Hybrid</t>
        </is>
      </c>
      <c r="B9">
        <f>COUNTIF(Internships!F2:F18,"Hybrid")</f>
        <v/>
      </c>
    </row>
    <row r="10">
      <c r="A10" t="inlineStr">
        <is>
          <t>Product companies</t>
        </is>
      </c>
      <c r="B10">
        <f>COUNTIF(Internships!G2:G18,"Product")</f>
        <v/>
      </c>
    </row>
    <row r="11">
      <c r="A11" t="inlineStr">
        <is>
          <t>Service companies</t>
        </is>
      </c>
      <c r="B11">
        <f>COUNTIF(Internships!G2:G18,"Service")</f>
        <v/>
      </c>
    </row>
    <row r="12">
      <c r="A12" t="inlineStr">
        <is>
          <t>Strong fit</t>
        </is>
      </c>
      <c r="B12">
        <f>COUNTIF(Internships!O2:O18,"Strong")</f>
        <v/>
      </c>
    </row>
    <row r="13">
      <c r="A13" t="inlineStr">
        <is>
          <t>Good fit</t>
        </is>
      </c>
      <c r="B13">
        <f>COUNTIF(Internships!O2:O18,"Good")</f>
        <v/>
      </c>
    </row>
    <row r="14">
      <c r="A14" t="inlineStr">
        <is>
          <t>Caution / check</t>
        </is>
      </c>
      <c r="B14">
        <f>COUNTIF(Internships!O2:O18,"Caution")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7" t="inlineStr">
        <is>
          <t>How to use this sheet</t>
        </is>
      </c>
    </row>
    <row r="2"/>
    <row r="3">
      <c r="A3" t="inlineStr">
        <is>
          <t>Candidate: Abhishek Chaurasiya - penultimate-year B.Tech CS (Data Science spec.), PSIT Kanpur, grad 2027.</t>
        </is>
      </c>
    </row>
    <row r="4">
      <c r="A4" t="inlineStr">
        <is>
          <t>Scope: Data Science / ML AND Software Developer / Backend internships. Use the 'Track' column to filter.</t>
        </is>
      </c>
    </row>
    <row r="5">
      <c r="A5" t="inlineStr">
        <is>
          <t>Pay filter: only UNPAID or no-fixed-stipend roles (per request). Roles advertising a stipend amount were excluded.</t>
        </is>
      </c>
    </row>
    <row r="6">
      <c r="A6" t="inlineStr">
        <is>
          <t>Click the 'Apply' cell -&gt; opens that job's Indeed page where you press Apply.</t>
        </is>
      </c>
    </row>
    <row r="7">
      <c r="A7" t="inlineStr">
        <is>
          <t>Row-1 filter arrows: filter by Track / Mode / Type / Fit.</t>
        </is>
      </c>
    </row>
    <row r="8"/>
    <row r="9">
      <c r="A9" s="18" t="inlineStr">
        <is>
          <t>Column meaning</t>
        </is>
      </c>
    </row>
    <row r="10">
      <c r="A10" t="inlineStr">
        <is>
          <t>Track = Data Science (ML/analytics) vs Software Dev (backend/full-stack/SDE).</t>
        </is>
      </c>
    </row>
    <row r="11">
      <c r="A11" t="inlineStr">
        <is>
          <t>Mode  = Remote / Onsite / Hybrid.   Type = Product vs Service company.</t>
        </is>
      </c>
    </row>
    <row r="12">
      <c r="A12" t="inlineStr">
        <is>
          <t>Pay   = 'Unpaid' (explicit) or 'Not disclosed' (no stipend advertised - confirm with employer).</t>
        </is>
      </c>
    </row>
    <row r="13">
      <c r="A13" t="inlineStr">
        <is>
          <t>Fit   = Strong (apply now), Good (worth applying), Caution (read the note).</t>
        </is>
      </c>
    </row>
    <row r="14"/>
    <row r="15">
      <c r="A15" s="18" t="inlineStr">
        <is>
          <t>Best starting points for Abhishek (Kanpur-based)</t>
        </is>
      </c>
    </row>
    <row r="16">
      <c r="A16" t="inlineStr">
        <is>
          <t>1) Algorithus - Lucknow (~80 km), full-stack Python+React (matches your FastAPI/Django/JS exactly).</t>
        </is>
      </c>
    </row>
    <row r="17">
      <c r="A17" t="inlineStr">
        <is>
          <t>2) Augurs Technologies - Lucknow, AI/ML, final-year welcome.</t>
        </is>
      </c>
    </row>
    <row r="18">
      <c r="A18" t="inlineStr">
        <is>
          <t>3) Google SWE Intern (Summer 2027) - 2027 grad = penultimate year; APPLY BEFORE 28 JUN 2026.</t>
        </is>
      </c>
    </row>
    <row r="19">
      <c r="A19" t="inlineStr">
        <is>
          <t>4) DataFoundry (Remote AI/ML) &amp; CloudSEK (Bengaluru backend product co).</t>
        </is>
      </c>
    </row>
    <row r="20"/>
    <row r="21">
      <c r="A21" s="18" t="inlineStr">
        <is>
          <t>Caveats</t>
        </is>
      </c>
    </row>
    <row r="22">
      <c r="A22" t="inlineStr">
        <is>
          <t>Volvo &amp; GE Vernova - prefer Master's/PhD; a stretch for penultimate-year B.Tech.</t>
        </is>
      </c>
    </row>
    <row r="23">
      <c r="A23" t="inlineStr">
        <is>
          <t>Dozee - leans life-sciences/clinical.   CloudSEK - backend stack is Node/Go, not Python.</t>
        </is>
      </c>
    </row>
    <row r="24">
      <c r="A24" t="inlineStr">
        <is>
          <t>Data Channel - part-time, LAMP/PHP-leaning.   GeoTechnoSoft - confirm Noida vs Patna.</t>
        </is>
      </c>
    </row>
    <row r="25">
      <c r="A25" t="inlineStr">
        <is>
          <t>Vedanta Mobility - genuinely unpaid, Tier-2 only.   MNJ - remote but rotating/night shifts.</t>
        </is>
      </c>
    </row>
    <row r="26"/>
    <row r="27">
      <c r="A27" t="inlineStr">
        <is>
          <t>Source: Indeed job API, pulled 18 Jun 2026. Pay status can change - verify on the job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2026-06-18T10:24:37Z</dcterms:created>
  <dcterms:modified xmlns:dcterms="http://purl.org/dc/terms/" xmlns:xsi="http://www.w3.org/2001/XMLSchema-instance" xsi:type="dcterms:W3CDTF">2026-06-18T10:26:55Z</dcterms:modified>
</cp:coreProperties>
</file>