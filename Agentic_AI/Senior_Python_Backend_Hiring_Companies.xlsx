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ing Companies" sheetId="1" state="visible" r:id="rId1"/>
    <sheet xmlns:r="http://schemas.openxmlformats.org/officeDocument/2006/relationships" name="Priority" sheetId="2" state="visible" r:id="rId2"/>
    <sheet xmlns:r="http://schemas.openxmlformats.org/officeDocument/2006/relationships" name="Job Search Link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Expired (archived)" sheetId="6" state="visible" r:id="rId6"/>
  </sheets>
  <definedNames>
    <definedName name="_xlnm._FilterDatabase" localSheetId="0" hidden="1">'Hiring Companies'!$A$1:$I$55</definedName>
    <definedName name="_xlnm._FilterDatabase" localSheetId="1" hidden="1">'Priority'!$A$3:$I$29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color rgb="000563C1"/>
      <u val="single"/>
    </font>
    <font>
      <b val="1"/>
      <color rgb="000563C1"/>
      <u val="single"/>
    </font>
    <font>
      <b val="1"/>
      <sz val="13"/>
    </font>
    <font>
      <b val="1"/>
      <color rgb="00FFFFFF"/>
      <sz val="11"/>
    </font>
    <font>
      <i val="1"/>
      <sz val="10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CE8B2"/>
        <bgColor rgb="FFFCE8B2"/>
      </patternFill>
    </fill>
    <fill>
      <patternFill patternType="solid">
        <fgColor rgb="FFD9E7FB"/>
        <bgColor rgb="FFD9E7FB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FFE8E2F0"/>
        <bgColor rgb="FFE8E2F0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0" pivotButton="0" quotePrefix="0" xfId="0"/>
    <xf numFmtId="0" fontId="0" fillId="6" borderId="0" pivotButton="0" quotePrefix="0" xfId="0"/>
    <xf numFmtId="0" fontId="4" fillId="6" borderId="0" pivotButton="0" quotePrefix="0" xfId="0"/>
    <xf numFmtId="0" fontId="5" fillId="0" borderId="1" applyAlignment="1" pivotButton="0" quotePrefix="0" xfId="0">
      <alignment vertical="center" wrapText="1"/>
    </xf>
    <xf numFmtId="0" fontId="5" fillId="6" borderId="0" pivotButton="0" quotePrefix="0" xfId="0"/>
    <xf numFmtId="0" fontId="0" fillId="7" borderId="0" pivotButton="0" quotePrefix="0" xfId="0"/>
    <xf numFmtId="0" fontId="5" fillId="7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2" applyAlignment="1" pivotButton="0" quotePrefix="0" xfId="0">
      <alignment vertical="center" wrapText="1"/>
    </xf>
    <xf numFmtId="0" fontId="9" fillId="0" borderId="0" pivotButton="0" quotePrefix="0" xfId="0"/>
    <xf numFmtId="0" fontId="0" fillId="11" borderId="0" pivotButton="0" quotePrefix="0" xfId="0"/>
    <xf numFmtId="0" fontId="5" fillId="11" borderId="0" pivotButton="0" quotePrefix="0" xfId="0"/>
    <xf numFmtId="0" fontId="10" fillId="1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18" customWidth="1" min="4" max="4"/>
    <col width="12" customWidth="1" min="5" max="5"/>
    <col width="13" customWidth="1" min="6" max="6"/>
    <col width="12" customWidth="1" min="7" max="7"/>
    <col width="13" customWidth="1" min="8" max="8"/>
    <col width="38" customWidth="1" min="9" max="9"/>
    <col width="14" customWidth="1" min="10" max="10"/>
    <col width="16" customWidth="1" min="11" max="11"/>
  </cols>
  <sheetData>
    <row r="1">
      <c r="A1" s="1" t="inlineStr">
        <is>
          <t>S.No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Platform</t>
        </is>
      </c>
      <c r="F1" s="1" t="inlineStr">
        <is>
          <t>Posted</t>
        </is>
      </c>
      <c r="G1" s="1" t="inlineStr">
        <is>
          <t>Apply Link</t>
        </is>
      </c>
      <c r="H1" s="1" t="inlineStr">
        <is>
          <t>Match</t>
        </is>
      </c>
      <c r="I1" s="1" t="inlineStr">
        <is>
          <t>Notes</t>
        </is>
      </c>
      <c r="J1" s="1" t="inlineStr">
        <is>
          <t>Mode</t>
        </is>
      </c>
      <c r="K1" s="1" t="inlineStr">
        <is>
          <t>Exp Fit (4 yr)</t>
        </is>
      </c>
    </row>
    <row r="2">
      <c r="A2" s="2" t="n">
        <v>1</v>
      </c>
      <c r="B2" s="2" t="inlineStr">
        <is>
          <t>YMinds.AI</t>
        </is>
      </c>
      <c r="C2" s="2" t="inlineStr">
        <is>
          <t>Senior Python Backend Developer - AI/ML (4+ yrs)</t>
        </is>
      </c>
      <c r="D2" s="2" t="inlineStr">
        <is>
          <t>Remote</t>
        </is>
      </c>
      <c r="E2" s="2" t="inlineStr">
        <is>
          <t>LinkedIn</t>
        </is>
      </c>
      <c r="F2" s="2" t="inlineStr">
        <is>
          <t>2026</t>
        </is>
      </c>
      <c r="G2" s="11">
        <f>HYPERLINK("https://in.linkedin.com/jobs/view/senior-python-backend-developer-ai-ml-4+-years-experience-immediate-joiner-remote-at-yminds-ai-4387945955","Apply")</f>
        <v/>
      </c>
      <c r="H2" s="4" t="inlineStr">
        <is>
          <t>Tight</t>
        </is>
      </c>
      <c r="I2" s="2" t="inlineStr">
        <is>
          <t>Exact title + exp match</t>
        </is>
      </c>
      <c r="J2" t="inlineStr">
        <is>
          <t>Remote</t>
        </is>
      </c>
      <c r="K2" s="15" t="inlineStr">
        <is>
          <t>Ideal (3-6 yr)</t>
        </is>
      </c>
    </row>
    <row r="3">
      <c r="A3" s="2" t="n">
        <v>2</v>
      </c>
      <c r="B3" s="2" t="inlineStr">
        <is>
          <t>HireTo Co.</t>
        </is>
      </c>
      <c r="C3" s="2" t="inlineStr">
        <is>
          <t>Senior Backend Developer Python/Django</t>
        </is>
      </c>
      <c r="D3" s="2" t="inlineStr">
        <is>
          <t>India</t>
        </is>
      </c>
      <c r="E3" s="2" t="inlineStr">
        <is>
          <t>LinkedIn</t>
        </is>
      </c>
      <c r="F3" s="2" t="inlineStr">
        <is>
          <t>2026</t>
        </is>
      </c>
      <c r="G3" s="11">
        <f>HYPERLINK("https://in.linkedin.com/jobs/senior-backend-developer-python-django-jobs","Apply")</f>
        <v/>
      </c>
      <c r="H3" s="4" t="inlineStr">
        <is>
          <t>Tight</t>
        </is>
      </c>
      <c r="I3" s="2" t="inlineStr">
        <is>
          <t>From LinkedIn search aggregator</t>
        </is>
      </c>
      <c r="J3" t="inlineStr">
        <is>
          <t>Varies</t>
        </is>
      </c>
      <c r="K3" s="15" t="inlineStr">
        <is>
          <t>Ideal (3-6 yr)</t>
        </is>
      </c>
    </row>
    <row r="4">
      <c r="A4" s="2" t="n">
        <v>3</v>
      </c>
      <c r="B4" s="2" t="inlineStr">
        <is>
          <t>Solvex Solutions</t>
        </is>
      </c>
      <c r="C4" s="2" t="inlineStr">
        <is>
          <t>Senior Backend Developer Python/Django</t>
        </is>
      </c>
      <c r="D4" s="2" t="inlineStr">
        <is>
          <t>India</t>
        </is>
      </c>
      <c r="E4" s="2" t="inlineStr">
        <is>
          <t>LinkedIn</t>
        </is>
      </c>
      <c r="F4" s="2" t="inlineStr">
        <is>
          <t>2026</t>
        </is>
      </c>
      <c r="G4" s="11">
        <f>HYPERLINK("https://in.linkedin.com/jobs/senior-backend-developer-python-django-jobs","Apply")</f>
        <v/>
      </c>
      <c r="H4" s="4" t="inlineStr">
        <is>
          <t>Tight</t>
        </is>
      </c>
      <c r="I4" s="2" t="inlineStr"/>
      <c r="J4" t="inlineStr">
        <is>
          <t>Varies</t>
        </is>
      </c>
      <c r="K4" s="15" t="inlineStr">
        <is>
          <t>Ideal (3-6 yr)</t>
        </is>
      </c>
    </row>
    <row r="5">
      <c r="A5" s="2" t="n">
        <v>4</v>
      </c>
      <c r="B5" s="2" t="inlineStr">
        <is>
          <t>Hexatic</t>
        </is>
      </c>
      <c r="C5" s="2" t="inlineStr">
        <is>
          <t>Senior Backend Developer Python/Django</t>
        </is>
      </c>
      <c r="D5" s="2" t="inlineStr">
        <is>
          <t>India</t>
        </is>
      </c>
      <c r="E5" s="2" t="inlineStr">
        <is>
          <t>LinkedIn</t>
        </is>
      </c>
      <c r="F5" s="2" t="inlineStr">
        <is>
          <t>2026</t>
        </is>
      </c>
      <c r="G5" s="11">
        <f>HYPERLINK("https://in.linkedin.com/jobs/senior-backend-developer-python-django-jobs","Apply")</f>
        <v/>
      </c>
      <c r="H5" s="4" t="inlineStr">
        <is>
          <t>Tight</t>
        </is>
      </c>
      <c r="I5" s="2" t="inlineStr"/>
      <c r="J5" t="inlineStr">
        <is>
          <t>Varies</t>
        </is>
      </c>
      <c r="K5" s="15" t="inlineStr">
        <is>
          <t>Ideal (3-6 yr)</t>
        </is>
      </c>
    </row>
    <row r="6">
      <c r="A6" s="2" t="n">
        <v>5</v>
      </c>
      <c r="B6" s="2" t="inlineStr">
        <is>
          <t>VGreen Technology Solutions</t>
        </is>
      </c>
      <c r="C6" s="2" t="inlineStr">
        <is>
          <t>Senior Backend Developer Python/Django</t>
        </is>
      </c>
      <c r="D6" s="2" t="inlineStr">
        <is>
          <t>India</t>
        </is>
      </c>
      <c r="E6" s="2" t="inlineStr">
        <is>
          <t>LinkedIn</t>
        </is>
      </c>
      <c r="F6" s="2" t="inlineStr">
        <is>
          <t>2026</t>
        </is>
      </c>
      <c r="G6" s="11">
        <f>HYPERLINK("https://in.linkedin.com/jobs/senior-backend-developer-python-django-jobs","Apply")</f>
        <v/>
      </c>
      <c r="H6" s="4" t="inlineStr">
        <is>
          <t>Tight</t>
        </is>
      </c>
      <c r="I6" s="2" t="inlineStr"/>
      <c r="J6" t="inlineStr">
        <is>
          <t>Varies</t>
        </is>
      </c>
      <c r="K6" s="15" t="inlineStr">
        <is>
          <t>Ideal (3-6 yr)</t>
        </is>
      </c>
    </row>
    <row r="7">
      <c r="A7" s="2" t="n">
        <v>6</v>
      </c>
      <c r="B7" s="2" t="inlineStr">
        <is>
          <t>Schneider Electric</t>
        </is>
      </c>
      <c r="C7" s="2" t="inlineStr">
        <is>
          <t>Senior Backend Developer Python/Django</t>
        </is>
      </c>
      <c r="D7" s="2" t="inlineStr">
        <is>
          <t>India</t>
        </is>
      </c>
      <c r="E7" s="2" t="inlineStr">
        <is>
          <t>LinkedIn</t>
        </is>
      </c>
      <c r="F7" s="2" t="inlineStr">
        <is>
          <t>2026</t>
        </is>
      </c>
      <c r="G7" s="11">
        <f>HYPERLINK("https://in.linkedin.com/jobs/senior-backend-developer-python-django-jobs","Apply")</f>
        <v/>
      </c>
      <c r="H7" s="4" t="inlineStr">
        <is>
          <t>Tight</t>
        </is>
      </c>
      <c r="I7" s="2" t="inlineStr">
        <is>
          <t>Global MNC</t>
        </is>
      </c>
      <c r="J7" t="inlineStr">
        <is>
          <t>Varies</t>
        </is>
      </c>
      <c r="K7" s="15" t="inlineStr">
        <is>
          <t>Ideal (3-6 yr)</t>
        </is>
      </c>
    </row>
    <row r="8">
      <c r="A8" s="2" t="n">
        <v>7</v>
      </c>
      <c r="B8" s="2" t="inlineStr">
        <is>
          <t>Rentokil Initial</t>
        </is>
      </c>
      <c r="C8" s="2" t="inlineStr">
        <is>
          <t>Senior Backend Developer Python/Django</t>
        </is>
      </c>
      <c r="D8" s="2" t="inlineStr">
        <is>
          <t>India</t>
        </is>
      </c>
      <c r="E8" s="2" t="inlineStr">
        <is>
          <t>LinkedIn</t>
        </is>
      </c>
      <c r="F8" s="2" t="inlineStr">
        <is>
          <t>2026</t>
        </is>
      </c>
      <c r="G8" s="11">
        <f>HYPERLINK("https://in.linkedin.com/jobs/senior-backend-developer-python-django-jobs","Apply")</f>
        <v/>
      </c>
      <c r="H8" s="5" t="inlineStr">
        <is>
          <t>Reasonable</t>
        </is>
      </c>
      <c r="I8" s="2" t="inlineStr"/>
      <c r="J8" t="inlineStr">
        <is>
          <t>Varies</t>
        </is>
      </c>
      <c r="K8" s="15" t="inlineStr">
        <is>
          <t>Ideal (3-6 yr)</t>
        </is>
      </c>
    </row>
    <row r="9">
      <c r="A9" s="2" t="n">
        <v>8</v>
      </c>
      <c r="B9" s="2" t="inlineStr">
        <is>
          <t>Arctic Wolf</t>
        </is>
      </c>
      <c r="C9" s="2" t="inlineStr">
        <is>
          <t>Senior Backend Developer Python/Django</t>
        </is>
      </c>
      <c r="D9" s="2" t="inlineStr">
        <is>
          <t>India</t>
        </is>
      </c>
      <c r="E9" s="2" t="inlineStr">
        <is>
          <t>LinkedIn</t>
        </is>
      </c>
      <c r="F9" s="2" t="inlineStr">
        <is>
          <t>2026</t>
        </is>
      </c>
      <c r="G9" s="11">
        <f>HYPERLINK("https://in.linkedin.com/jobs/senior-backend-developer-python-django-jobs","Apply")</f>
        <v/>
      </c>
      <c r="H9" s="4" t="inlineStr">
        <is>
          <t>Tight</t>
        </is>
      </c>
      <c r="I9" s="2" t="inlineStr">
        <is>
          <t>Cybersecurity product</t>
        </is>
      </c>
      <c r="J9" t="inlineStr">
        <is>
          <t>Varies</t>
        </is>
      </c>
      <c r="K9" s="15" t="inlineStr">
        <is>
          <t>Ideal (3-6 yr)</t>
        </is>
      </c>
    </row>
    <row r="10">
      <c r="A10" s="2" t="n">
        <v>9</v>
      </c>
      <c r="B10" s="2" t="inlineStr">
        <is>
          <t>Miba Group</t>
        </is>
      </c>
      <c r="C10" s="2" t="inlineStr">
        <is>
          <t>Senior Backend Developer Python/Django</t>
        </is>
      </c>
      <c r="D10" s="2" t="inlineStr">
        <is>
          <t>India</t>
        </is>
      </c>
      <c r="E10" s="2" t="inlineStr">
        <is>
          <t>LinkedIn</t>
        </is>
      </c>
      <c r="F10" s="2" t="inlineStr">
        <is>
          <t>2026</t>
        </is>
      </c>
      <c r="G10" s="11">
        <f>HYPERLINK("https://in.linkedin.com/jobs/senior-backend-developer-python-django-jobs","Apply")</f>
        <v/>
      </c>
      <c r="H10" s="5" t="inlineStr">
        <is>
          <t>Reasonable</t>
        </is>
      </c>
      <c r="I10" s="2" t="inlineStr"/>
      <c r="J10" t="inlineStr">
        <is>
          <t>Varies</t>
        </is>
      </c>
      <c r="K10" s="15" t="inlineStr">
        <is>
          <t>Ideal (3-6 yr)</t>
        </is>
      </c>
    </row>
    <row r="11">
      <c r="A11" s="2" t="n">
        <v>10</v>
      </c>
      <c r="B11" s="2" t="inlineStr">
        <is>
          <t>vueverse</t>
        </is>
      </c>
      <c r="C11" s="2" t="inlineStr">
        <is>
          <t>Senior Python Backend Developer</t>
        </is>
      </c>
      <c r="D11" s="2" t="inlineStr">
        <is>
          <t>India</t>
        </is>
      </c>
      <c r="E11" s="2" t="inlineStr">
        <is>
          <t>Cutshort</t>
        </is>
      </c>
      <c r="F11" s="2" t="inlineStr">
        <is>
          <t>2026</t>
        </is>
      </c>
      <c r="G11" s="11">
        <f>HYPERLINK("https://cutshort.io/jobs/senior-python-developer-jobs","Apply")</f>
        <v/>
      </c>
      <c r="H11" s="4" t="inlineStr">
        <is>
          <t>Tight</t>
        </is>
      </c>
      <c r="I11" s="2" t="inlineStr"/>
      <c r="J11" t="inlineStr">
        <is>
          <t>Varies</t>
        </is>
      </c>
      <c r="K11" s="15" t="inlineStr">
        <is>
          <t>Ideal (3-6 yr)</t>
        </is>
      </c>
    </row>
    <row r="12">
      <c r="A12" s="2" t="n">
        <v>11</v>
      </c>
      <c r="B12" s="2" t="inlineStr">
        <is>
          <t>Infomanav</t>
        </is>
      </c>
      <c r="C12" s="2" t="inlineStr">
        <is>
          <t>Senior Python Backend Developer</t>
        </is>
      </c>
      <c r="D12" s="2" t="inlineStr">
        <is>
          <t>India</t>
        </is>
      </c>
      <c r="E12" s="2" t="inlineStr">
        <is>
          <t>Cutshort</t>
        </is>
      </c>
      <c r="F12" s="2" t="inlineStr">
        <is>
          <t>2026</t>
        </is>
      </c>
      <c r="G12" s="11">
        <f>HYPERLINK("https://cutshort.io/jobs/senior-python-developer-jobs","Apply")</f>
        <v/>
      </c>
      <c r="H12" s="4" t="inlineStr">
        <is>
          <t>Tight</t>
        </is>
      </c>
      <c r="I12" s="2" t="inlineStr"/>
      <c r="J12" t="inlineStr">
        <is>
          <t>Varies</t>
        </is>
      </c>
      <c r="K12" s="15" t="inlineStr">
        <is>
          <t>Ideal (3-6 yr)</t>
        </is>
      </c>
    </row>
    <row r="13">
      <c r="A13" s="2" t="n">
        <v>12</v>
      </c>
      <c r="B13" s="2" t="inlineStr">
        <is>
          <t>SolutionChamps DesignLabs</t>
        </is>
      </c>
      <c r="C13" s="2" t="inlineStr">
        <is>
          <t>Senior Python Backend Developer</t>
        </is>
      </c>
      <c r="D13" s="2" t="inlineStr">
        <is>
          <t>India</t>
        </is>
      </c>
      <c r="E13" s="2" t="inlineStr">
        <is>
          <t>Cutshort</t>
        </is>
      </c>
      <c r="F13" s="2" t="inlineStr">
        <is>
          <t>2026</t>
        </is>
      </c>
      <c r="G13" s="11">
        <f>HYPERLINK("https://cutshort.io/jobs/senior-python-developer-jobs","Apply")</f>
        <v/>
      </c>
      <c r="H13" s="4" t="inlineStr">
        <is>
          <t>Tight</t>
        </is>
      </c>
      <c r="I13" s="2" t="inlineStr"/>
      <c r="J13" t="inlineStr">
        <is>
          <t>Varies</t>
        </is>
      </c>
      <c r="K13" s="15" t="inlineStr">
        <is>
          <t>Ideal (3-6 yr)</t>
        </is>
      </c>
    </row>
    <row r="14">
      <c r="A14" s="2" t="n">
        <v>13</v>
      </c>
      <c r="B14" s="2" t="inlineStr">
        <is>
          <t>Syneos Health</t>
        </is>
      </c>
      <c r="C14" s="2" t="inlineStr">
        <is>
          <t>Senior Python Backend Developer</t>
        </is>
      </c>
      <c r="D14" s="2" t="inlineStr">
        <is>
          <t>India</t>
        </is>
      </c>
      <c r="E14" s="2" t="inlineStr">
        <is>
          <t>Cutshort</t>
        </is>
      </c>
      <c r="F14" s="2" t="inlineStr">
        <is>
          <t>2026</t>
        </is>
      </c>
      <c r="G14" s="11">
        <f>HYPERLINK("https://cutshort.io/jobs/senior-python-developer-jobs","Apply")</f>
        <v/>
      </c>
      <c r="H14" s="4" t="inlineStr">
        <is>
          <t>Tight</t>
        </is>
      </c>
      <c r="I14" s="2" t="inlineStr">
        <is>
          <t>Pharma/CRO</t>
        </is>
      </c>
      <c r="J14" t="inlineStr">
        <is>
          <t>Varies</t>
        </is>
      </c>
      <c r="K14" s="15" t="inlineStr">
        <is>
          <t>Ideal (3-6 yr)</t>
        </is>
      </c>
    </row>
    <row r="15">
      <c r="A15" s="2" t="n">
        <v>14</v>
      </c>
      <c r="B15" s="2" t="inlineStr">
        <is>
          <t>Intellectsoft</t>
        </is>
      </c>
      <c r="C15" s="2" t="inlineStr">
        <is>
          <t>Senior Python Backend Developer</t>
        </is>
      </c>
      <c r="D15" s="2" t="inlineStr">
        <is>
          <t>India</t>
        </is>
      </c>
      <c r="E15" s="2" t="inlineStr">
        <is>
          <t>Cutshort</t>
        </is>
      </c>
      <c r="F15" s="2" t="inlineStr">
        <is>
          <t>2026</t>
        </is>
      </c>
      <c r="G15" s="11">
        <f>HYPERLINK("https://cutshort.io/jobs/senior-python-developer-jobs","Apply")</f>
        <v/>
      </c>
      <c r="H15" s="4" t="inlineStr">
        <is>
          <t>Tight</t>
        </is>
      </c>
      <c r="I15" s="2" t="inlineStr"/>
      <c r="J15" t="inlineStr">
        <is>
          <t>Varies</t>
        </is>
      </c>
      <c r="K15" s="15" t="inlineStr">
        <is>
          <t>Ideal (3-6 yr)</t>
        </is>
      </c>
    </row>
    <row r="16">
      <c r="A16" s="2" t="n">
        <v>15</v>
      </c>
      <c r="B16" s="2" t="inlineStr">
        <is>
          <t>Dataviv Technologies</t>
        </is>
      </c>
      <c r="C16" s="2" t="inlineStr">
        <is>
          <t>Senior Python Backend Developer</t>
        </is>
      </c>
      <c r="D16" s="2" t="inlineStr">
        <is>
          <t>India</t>
        </is>
      </c>
      <c r="E16" s="2" t="inlineStr">
        <is>
          <t>Cutshort</t>
        </is>
      </c>
      <c r="F16" s="2" t="inlineStr">
        <is>
          <t>2026</t>
        </is>
      </c>
      <c r="G16" s="11">
        <f>HYPERLINK("https://cutshort.io/jobs/senior-python-developer-jobs","Apply")</f>
        <v/>
      </c>
      <c r="H16" s="4" t="inlineStr">
        <is>
          <t>Tight</t>
        </is>
      </c>
      <c r="I16" s="2" t="inlineStr"/>
      <c r="J16" t="inlineStr">
        <is>
          <t>Varies</t>
        </is>
      </c>
      <c r="K16" s="15" t="inlineStr">
        <is>
          <t>Ideal (3-6 yr)</t>
        </is>
      </c>
    </row>
    <row r="17">
      <c r="A17" s="2" t="n">
        <v>16</v>
      </c>
      <c r="B17" s="2" t="inlineStr">
        <is>
          <t>ChicMic Studios</t>
        </is>
      </c>
      <c r="C17" s="2" t="inlineStr">
        <is>
          <t>Senior Python Backend Developer</t>
        </is>
      </c>
      <c r="D17" s="2" t="inlineStr">
        <is>
          <t>India</t>
        </is>
      </c>
      <c r="E17" s="2" t="inlineStr">
        <is>
          <t>Cutshort</t>
        </is>
      </c>
      <c r="F17" s="2" t="inlineStr">
        <is>
          <t>2026</t>
        </is>
      </c>
      <c r="G17" s="11">
        <f>HYPERLINK("https://cutshort.io/jobs/senior-python-developer-jobs","Apply")</f>
        <v/>
      </c>
      <c r="H17" s="4" t="inlineStr">
        <is>
          <t>Tight</t>
        </is>
      </c>
      <c r="I17" s="2" t="inlineStr"/>
      <c r="J17" t="inlineStr">
        <is>
          <t>Varies</t>
        </is>
      </c>
      <c r="K17" s="15" t="inlineStr">
        <is>
          <t>Ideal (3-6 yr)</t>
        </is>
      </c>
    </row>
    <row r="18">
      <c r="A18" s="2" t="n">
        <v>17</v>
      </c>
      <c r="B18" s="2" t="inlineStr">
        <is>
          <t>6sense</t>
        </is>
      </c>
      <c r="C18" s="2" t="inlineStr">
        <is>
          <t>Python Developer - Backend (Remote)</t>
        </is>
      </c>
      <c r="D18" s="2" t="inlineStr">
        <is>
          <t>Remote</t>
        </is>
      </c>
      <c r="E18" s="2" t="inlineStr">
        <is>
          <t>Cutshort</t>
        </is>
      </c>
      <c r="F18" s="2" t="inlineStr">
        <is>
          <t>2026</t>
        </is>
      </c>
      <c r="G18" s="11">
        <f>HYPERLINK("https://cutshort.io/job/Python-Developer-Backend-6sense-z5mniNnd","Apply")</f>
        <v/>
      </c>
      <c r="H18" s="4" t="inlineStr">
        <is>
          <t>Tight</t>
        </is>
      </c>
      <c r="I18" s="2" t="inlineStr">
        <is>
          <t>Product company</t>
        </is>
      </c>
      <c r="J18" t="inlineStr">
        <is>
          <t>Remote</t>
        </is>
      </c>
      <c r="K18" s="15" t="inlineStr">
        <is>
          <t>Ideal (3-6 yr)</t>
        </is>
      </c>
    </row>
    <row r="19">
      <c r="A19" s="9" t="n">
        <v>18</v>
      </c>
      <c r="B19" s="9" t="inlineStr">
        <is>
          <t>Skyloov Property Portal</t>
        </is>
      </c>
      <c r="C19" s="9" t="inlineStr">
        <is>
          <t>Senior Python Developer</t>
        </is>
      </c>
      <c r="D19" s="9" t="inlineStr">
        <is>
          <t>Remote</t>
        </is>
      </c>
      <c r="E19" s="9" t="inlineStr">
        <is>
          <t>Indeed</t>
        </is>
      </c>
      <c r="F19" s="9" t="inlineStr">
        <is>
          <t>2026-06-16</t>
        </is>
      </c>
      <c r="G19" s="12">
        <f>HYPERLINK("https://to.indeed.com/aashyhnzhqkz","Apply")</f>
        <v/>
      </c>
      <c r="H19" s="9" t="inlineStr">
        <is>
          <t>Tight</t>
        </is>
      </c>
      <c r="I19" s="9" t="inlineStr">
        <is>
          <t>★ NEW Freshly posted</t>
        </is>
      </c>
      <c r="J19" s="9" t="inlineStr">
        <is>
          <t>Remote</t>
        </is>
      </c>
      <c r="K19" s="15" t="inlineStr">
        <is>
          <t>Ideal (3-6 yr)</t>
        </is>
      </c>
    </row>
    <row r="20">
      <c r="A20" s="13" t="n">
        <v>19</v>
      </c>
      <c r="B20" s="13" t="inlineStr">
        <is>
          <t>Valiant Systems</t>
        </is>
      </c>
      <c r="C20" s="13" t="inlineStr">
        <is>
          <t>Senior Python Developer</t>
        </is>
      </c>
      <c r="D20" s="13" t="inlineStr">
        <is>
          <t>Chennai (Porur)</t>
        </is>
      </c>
      <c r="E20" s="13" t="inlineStr">
        <is>
          <t>Indeed</t>
        </is>
      </c>
      <c r="F20" s="13" t="inlineStr">
        <is>
          <t>2026-07-13</t>
        </is>
      </c>
      <c r="G20" s="14">
        <f>HYPERLINK("https://to.indeed.com/aa89qvp66ggl","Apply")</f>
        <v/>
      </c>
      <c r="H20" s="13" t="inlineStr">
        <is>
          <t>Tight</t>
        </is>
      </c>
      <c r="I20" s="13" t="inlineStr">
        <is>
          <t>★ Pan-India Chennai</t>
        </is>
      </c>
      <c r="J20" s="13" t="inlineStr">
        <is>
          <t>Onsite</t>
        </is>
      </c>
      <c r="K20" s="15" t="inlineStr">
        <is>
          <t>Ideal (3-6 yr)</t>
        </is>
      </c>
    </row>
    <row r="21">
      <c r="A21" s="13" t="n">
        <v>20</v>
      </c>
      <c r="B21" s="13" t="inlineStr">
        <is>
          <t>AEVEVO Technology</t>
        </is>
      </c>
      <c r="C21" s="13" t="inlineStr">
        <is>
          <t>Senior React/Django Developer</t>
        </is>
      </c>
      <c r="D21" s="13" t="inlineStr">
        <is>
          <t>Chennai</t>
        </is>
      </c>
      <c r="E21" s="13" t="inlineStr">
        <is>
          <t>Indeed</t>
        </is>
      </c>
      <c r="F21" s="13" t="inlineStr">
        <is>
          <t>2026-08-01</t>
        </is>
      </c>
      <c r="G21" s="14">
        <f>HYPERLINK("https://to.indeed.com/aayqpws9vd8d","Apply")</f>
        <v/>
      </c>
      <c r="H21" s="13" t="inlineStr">
        <is>
          <t>Reasonable</t>
        </is>
      </c>
      <c r="I21" s="13" t="inlineStr">
        <is>
          <t>★ Pan-India Chennai — Django, freshest</t>
        </is>
      </c>
      <c r="J21" s="13" t="inlineStr">
        <is>
          <t>Onsite</t>
        </is>
      </c>
      <c r="K21" s="15" t="inlineStr">
        <is>
          <t>Ideal (3-6 yr)</t>
        </is>
      </c>
    </row>
    <row r="22">
      <c r="A22" s="13" t="n">
        <v>21</v>
      </c>
      <c r="B22" s="13" t="inlineStr">
        <is>
          <t>Accenture</t>
        </is>
      </c>
      <c r="C22" s="13" t="inlineStr">
        <is>
          <t>AI/ML Computational Science Sr Analyst</t>
        </is>
      </c>
      <c r="D22" s="13" t="inlineStr">
        <is>
          <t>Chennai</t>
        </is>
      </c>
      <c r="E22" s="13" t="inlineStr">
        <is>
          <t>Indeed</t>
        </is>
      </c>
      <c r="F22" s="13" t="inlineStr">
        <is>
          <t>2026-07-09</t>
        </is>
      </c>
      <c r="G22" s="14">
        <f>HYPERLINK("https://to.indeed.com/aakqq4hygdvt","Apply")</f>
        <v/>
      </c>
      <c r="H22" s="13" t="inlineStr">
        <is>
          <t>Reasonable</t>
        </is>
      </c>
      <c r="I22" s="13" t="inlineStr">
        <is>
          <t>★ Pan-India Chennai — AI/ML</t>
        </is>
      </c>
      <c r="J22" s="13" t="inlineStr">
        <is>
          <t>Onsite/Hybrid</t>
        </is>
      </c>
      <c r="K22" s="15" t="inlineStr">
        <is>
          <t>Ideal (3-6 yr)</t>
        </is>
      </c>
    </row>
    <row r="23">
      <c r="A23" s="13" t="n">
        <v>22</v>
      </c>
      <c r="B23" s="13" t="inlineStr">
        <is>
          <t>InterProducTec Virtual Labs</t>
        </is>
      </c>
      <c r="C23" s="13" t="inlineStr">
        <is>
          <t>Sr. Python Backend Developer</t>
        </is>
      </c>
      <c r="D23" s="13" t="inlineStr">
        <is>
          <t>Navi Mumbai (Airoli)</t>
        </is>
      </c>
      <c r="E23" s="13" t="inlineStr">
        <is>
          <t>Indeed</t>
        </is>
      </c>
      <c r="F23" s="13" t="inlineStr">
        <is>
          <t>2026-07-14</t>
        </is>
      </c>
      <c r="G23" s="14">
        <f>HYPERLINK("https://to.indeed.com/aazghkbhv4s6","Apply")</f>
        <v/>
      </c>
      <c r="H23" s="13" t="inlineStr">
        <is>
          <t>Tight</t>
        </is>
      </c>
      <c r="I23" s="13" t="inlineStr">
        <is>
          <t>★ Pan-India Mumbai — exact title</t>
        </is>
      </c>
      <c r="J23" s="13" t="inlineStr">
        <is>
          <t>Onsite/Hybrid</t>
        </is>
      </c>
      <c r="K23" s="15" t="inlineStr">
        <is>
          <t>Ideal (3-6 yr)</t>
        </is>
      </c>
    </row>
    <row r="24">
      <c r="A24" s="13" t="n">
        <v>23</v>
      </c>
      <c r="B24" s="13" t="inlineStr">
        <is>
          <t>DSMD.inc</t>
        </is>
      </c>
      <c r="C24" s="13" t="inlineStr">
        <is>
          <t>Senior Python Developer</t>
        </is>
      </c>
      <c r="D24" s="13" t="inlineStr">
        <is>
          <t>Mumbai</t>
        </is>
      </c>
      <c r="E24" s="13" t="inlineStr">
        <is>
          <t>Indeed</t>
        </is>
      </c>
      <c r="F24" s="13" t="inlineStr">
        <is>
          <t>2026-07-15</t>
        </is>
      </c>
      <c r="G24" s="14">
        <f>HYPERLINK("https://to.indeed.com/aa2cvvqpwhy2","Apply")</f>
        <v/>
      </c>
      <c r="H24" s="13" t="inlineStr">
        <is>
          <t>Tight</t>
        </is>
      </c>
      <c r="I24" s="13" t="inlineStr">
        <is>
          <t>★ Pan-India Mumbai</t>
        </is>
      </c>
      <c r="J24" s="13" t="inlineStr">
        <is>
          <t>Onsite/Hybrid</t>
        </is>
      </c>
      <c r="K24" s="15" t="inlineStr">
        <is>
          <t>Ideal (3-6 yr)</t>
        </is>
      </c>
    </row>
    <row r="25">
      <c r="A25" s="13" t="n">
        <v>24</v>
      </c>
      <c r="B25" s="13" t="inlineStr">
        <is>
          <t>Proximus</t>
        </is>
      </c>
      <c r="C25" s="13" t="inlineStr">
        <is>
          <t>Python Developer</t>
        </is>
      </c>
      <c r="D25" s="13" t="inlineStr">
        <is>
          <t>Mumbai</t>
        </is>
      </c>
      <c r="E25" s="13" t="inlineStr">
        <is>
          <t>Indeed</t>
        </is>
      </c>
      <c r="F25" s="13" t="inlineStr">
        <is>
          <t>2026-07-23</t>
        </is>
      </c>
      <c r="G25" s="14">
        <f>HYPERLINK("https://to.indeed.com/aak6ksy7lxsy","Apply")</f>
        <v/>
      </c>
      <c r="H25" s="13" t="inlineStr">
        <is>
          <t>Reasonable</t>
        </is>
      </c>
      <c r="I25" s="13" t="inlineStr">
        <is>
          <t>★ Pan-India Mumbai</t>
        </is>
      </c>
      <c r="J25" s="13" t="inlineStr">
        <is>
          <t>Onsite/Hybrid</t>
        </is>
      </c>
      <c r="K25" s="15" t="inlineStr">
        <is>
          <t>Ideal (3-6 yr)</t>
        </is>
      </c>
    </row>
    <row r="26">
      <c r="A26" s="13" t="n">
        <v>25</v>
      </c>
      <c r="B26" s="13" t="inlineStr">
        <is>
          <t>The Propertist</t>
        </is>
      </c>
      <c r="C26" s="13" t="inlineStr">
        <is>
          <t>Senior Full Stack Engineer</t>
        </is>
      </c>
      <c r="D26" s="13" t="inlineStr">
        <is>
          <t>Mumbai</t>
        </is>
      </c>
      <c r="E26" s="13" t="inlineStr">
        <is>
          <t>Indeed</t>
        </is>
      </c>
      <c r="F26" s="13" t="inlineStr">
        <is>
          <t>2026-07-14</t>
        </is>
      </c>
      <c r="G26" s="14">
        <f>HYPERLINK("https://to.indeed.com/aampsr7ls8fd","Apply")</f>
        <v/>
      </c>
      <c r="H26" s="13" t="inlineStr">
        <is>
          <t>Reasonable</t>
        </is>
      </c>
      <c r="I26" s="13" t="inlineStr">
        <is>
          <t>★ Pan-India Mumbai</t>
        </is>
      </c>
      <c r="J26" s="13" t="inlineStr">
        <is>
          <t>Onsite</t>
        </is>
      </c>
      <c r="K26" s="15" t="inlineStr">
        <is>
          <t>Ideal (3-6 yr)</t>
        </is>
      </c>
    </row>
    <row r="27">
      <c r="A27" s="13" t="n">
        <v>26</v>
      </c>
      <c r="B27" s="13" t="inlineStr">
        <is>
          <t>PwC</t>
        </is>
      </c>
      <c r="C27" s="13" t="inlineStr">
        <is>
          <t>Senior Associate — Python Developer (GCC Advisory)</t>
        </is>
      </c>
      <c r="D27" s="13" t="inlineStr">
        <is>
          <t>Kolkata</t>
        </is>
      </c>
      <c r="E27" s="13" t="inlineStr">
        <is>
          <t>Indeed</t>
        </is>
      </c>
      <c r="F27" s="13" t="inlineStr">
        <is>
          <t>2026-07-08</t>
        </is>
      </c>
      <c r="G27" s="14">
        <f>HYPERLINK("https://to.indeed.com/aak828bhv2sl","Apply")</f>
        <v/>
      </c>
      <c r="H27" s="13" t="inlineStr">
        <is>
          <t>Reasonable</t>
        </is>
      </c>
      <c r="I27" s="13" t="inlineStr">
        <is>
          <t>★ Pan-India Kolkata — Big-4 brand</t>
        </is>
      </c>
      <c r="J27" s="13" t="inlineStr">
        <is>
          <t>Onsite/Hybrid</t>
        </is>
      </c>
      <c r="K27" s="15" t="inlineStr">
        <is>
          <t>Ideal (3-6 yr)</t>
        </is>
      </c>
    </row>
    <row r="28">
      <c r="A28" s="13" t="n">
        <v>27</v>
      </c>
      <c r="B28" s="13" t="inlineStr">
        <is>
          <t>Proclivity Digitech</t>
        </is>
      </c>
      <c r="C28" s="13" t="inlineStr">
        <is>
          <t>Senior AI &amp; AWS Claude Full Stack Developer</t>
        </is>
      </c>
      <c r="D28" s="13" t="inlineStr">
        <is>
          <t>Kolkata</t>
        </is>
      </c>
      <c r="E28" s="13" t="inlineStr">
        <is>
          <t>Indeed</t>
        </is>
      </c>
      <c r="F28" s="13" t="inlineStr">
        <is>
          <t>2026-07-15</t>
        </is>
      </c>
      <c r="G28" s="14">
        <f>HYPERLINK("https://to.indeed.com/aa8y7p8r87zy","Apply")</f>
        <v/>
      </c>
      <c r="H28" s="13" t="inlineStr">
        <is>
          <t>Reasonable</t>
        </is>
      </c>
      <c r="I28" s="13" t="inlineStr">
        <is>
          <t>★ Pan-India Kolkata — Claude/AWS, agentic-AI fit</t>
        </is>
      </c>
      <c r="J28" s="13" t="inlineStr">
        <is>
          <t>Onsite</t>
        </is>
      </c>
      <c r="K28" s="15" t="inlineStr">
        <is>
          <t>Ideal (3-6 yr)</t>
        </is>
      </c>
    </row>
    <row r="29">
      <c r="A29" s="13" t="n">
        <v>28</v>
      </c>
      <c r="B29" s="13" t="inlineStr">
        <is>
          <t>Techno Wise (India)</t>
        </is>
      </c>
      <c r="C29" s="13" t="inlineStr">
        <is>
          <t>Python Full Stack Developer</t>
        </is>
      </c>
      <c r="D29" s="13" t="inlineStr">
        <is>
          <t>Kolkata</t>
        </is>
      </c>
      <c r="E29" s="13" t="inlineStr">
        <is>
          <t>Indeed</t>
        </is>
      </c>
      <c r="F29" s="13" t="inlineStr">
        <is>
          <t>2026-07-30</t>
        </is>
      </c>
      <c r="G29" s="14">
        <f>HYPERLINK("https://to.indeed.com/aamwm7dndjnp","Apply")</f>
        <v/>
      </c>
      <c r="H29" s="13" t="inlineStr">
        <is>
          <t>Reasonable</t>
        </is>
      </c>
      <c r="I29" s="13" t="inlineStr">
        <is>
          <t>★ Pan-India Kolkata</t>
        </is>
      </c>
      <c r="J29" s="13" t="inlineStr">
        <is>
          <t>Onsite</t>
        </is>
      </c>
      <c r="K29" s="15" t="inlineStr">
        <is>
          <t>Ideal (3-6 yr)</t>
        </is>
      </c>
    </row>
    <row r="30">
      <c r="A30" s="13" t="n">
        <v>29</v>
      </c>
      <c r="B30" s="13" t="inlineStr">
        <is>
          <t>Team HR</t>
        </is>
      </c>
      <c r="C30" s="13" t="inlineStr">
        <is>
          <t>Senior Python Developer</t>
        </is>
      </c>
      <c r="D30" s="13" t="inlineStr">
        <is>
          <t>Ahmedabad</t>
        </is>
      </c>
      <c r="E30" s="13" t="inlineStr">
        <is>
          <t>Indeed</t>
        </is>
      </c>
      <c r="F30" s="13" t="inlineStr">
        <is>
          <t>2026-07-20</t>
        </is>
      </c>
      <c r="G30" s="14">
        <f>HYPERLINK("https://to.indeed.com/aa9xxlv6p6cv","Apply")</f>
        <v/>
      </c>
      <c r="H30" s="13" t="inlineStr">
        <is>
          <t>Tight</t>
        </is>
      </c>
      <c r="I30" s="13" t="inlineStr">
        <is>
          <t>★ Pan-India Ahmedabad</t>
        </is>
      </c>
      <c r="J30" s="13" t="inlineStr">
        <is>
          <t>Onsite/Hybrid</t>
        </is>
      </c>
      <c r="K30" s="15" t="inlineStr">
        <is>
          <t>Ideal (3-6 yr)</t>
        </is>
      </c>
    </row>
    <row r="31">
      <c r="A31" s="13" t="n">
        <v>30</v>
      </c>
      <c r="B31" s="13" t="inlineStr">
        <is>
          <t>ManekTech</t>
        </is>
      </c>
      <c r="C31" s="13" t="inlineStr">
        <is>
          <t>Sr. AIML Developer</t>
        </is>
      </c>
      <c r="D31" s="13" t="inlineStr">
        <is>
          <t>Ahmedabad</t>
        </is>
      </c>
      <c r="E31" s="13" t="inlineStr">
        <is>
          <t>Indeed</t>
        </is>
      </c>
      <c r="F31" s="13" t="inlineStr">
        <is>
          <t>2026-07-24</t>
        </is>
      </c>
      <c r="G31" s="14">
        <f>HYPERLINK("https://to.indeed.com/aawcfs6264fd","Apply")</f>
        <v/>
      </c>
      <c r="H31" s="13" t="inlineStr">
        <is>
          <t>Reasonable</t>
        </is>
      </c>
      <c r="I31" s="13" t="inlineStr">
        <is>
          <t>★ Pan-India Ahmedabad — AI/ML</t>
        </is>
      </c>
      <c r="J31" s="13" t="inlineStr">
        <is>
          <t>Onsite</t>
        </is>
      </c>
      <c r="K31" s="15" t="inlineStr">
        <is>
          <t>Ideal (3-6 yr)</t>
        </is>
      </c>
    </row>
    <row r="32">
      <c r="A32" s="13" t="n">
        <v>31</v>
      </c>
      <c r="B32" s="13" t="inlineStr">
        <is>
          <t>Orangedatatech</t>
        </is>
      </c>
      <c r="C32" s="13" t="inlineStr">
        <is>
          <t>Senior Python Developer</t>
        </is>
      </c>
      <c r="D32" s="13" t="inlineStr">
        <is>
          <t>Indore</t>
        </is>
      </c>
      <c r="E32" s="13" t="inlineStr">
        <is>
          <t>Indeed</t>
        </is>
      </c>
      <c r="F32" s="13" t="inlineStr">
        <is>
          <t>2026-07-22</t>
        </is>
      </c>
      <c r="G32" s="14">
        <f>HYPERLINK("https://to.indeed.com/aam7xnvzwddq","Apply")</f>
        <v/>
      </c>
      <c r="H32" s="13" t="inlineStr">
        <is>
          <t>Tight</t>
        </is>
      </c>
      <c r="I32" s="13" t="inlineStr">
        <is>
          <t>★ Pan-India Indore</t>
        </is>
      </c>
      <c r="J32" s="13" t="inlineStr">
        <is>
          <t>Onsite</t>
        </is>
      </c>
      <c r="K32" s="15" t="inlineStr">
        <is>
          <t>Ideal (3-6 yr)</t>
        </is>
      </c>
    </row>
    <row r="33">
      <c r="A33" s="13" t="n">
        <v>32</v>
      </c>
      <c r="B33" s="13" t="inlineStr">
        <is>
          <t>Shastika Global Impex</t>
        </is>
      </c>
      <c r="C33" s="13" t="inlineStr">
        <is>
          <t>Senior Python Developer</t>
        </is>
      </c>
      <c r="D33" s="13" t="inlineStr">
        <is>
          <t>Coimbatore</t>
        </is>
      </c>
      <c r="E33" s="13" t="inlineStr">
        <is>
          <t>Indeed</t>
        </is>
      </c>
      <c r="F33" s="13" t="inlineStr">
        <is>
          <t>2026-07-23</t>
        </is>
      </c>
      <c r="G33" s="14">
        <f>HYPERLINK("https://to.indeed.com/aa9jsx4hmvzt","Apply")</f>
        <v/>
      </c>
      <c r="H33" s="13" t="inlineStr">
        <is>
          <t>Reasonable</t>
        </is>
      </c>
      <c r="I33" s="13" t="inlineStr">
        <is>
          <t>★ Pan-India Coimbatore</t>
        </is>
      </c>
      <c r="J33" s="13" t="inlineStr">
        <is>
          <t>Onsite</t>
        </is>
      </c>
      <c r="K33" s="15" t="inlineStr">
        <is>
          <t>Ideal (3-6 yr)</t>
        </is>
      </c>
    </row>
    <row r="34">
      <c r="A34" s="13" t="n">
        <v>33</v>
      </c>
      <c r="B34" s="13" t="inlineStr">
        <is>
          <t>HelixBeat</t>
        </is>
      </c>
      <c r="C34" s="13" t="inlineStr">
        <is>
          <t>Senior Engineer — Python, Django/FastAPI, Airflow/PySpark</t>
        </is>
      </c>
      <c r="D34" s="13" t="inlineStr">
        <is>
          <t>Remote</t>
        </is>
      </c>
      <c r="E34" s="13" t="inlineStr">
        <is>
          <t>Indeed</t>
        </is>
      </c>
      <c r="F34" s="13" t="inlineStr">
        <is>
          <t>2026-07-29</t>
        </is>
      </c>
      <c r="G34" s="14">
        <f>HYPERLINK("https://to.indeed.com/aaywk8glgdcn","Apply")</f>
        <v/>
      </c>
      <c r="H34" s="13" t="inlineStr">
        <is>
          <t>Tight</t>
        </is>
      </c>
      <c r="I34" s="13" t="inlineStr">
        <is>
          <t>★ Pan-India Remote — exact stack match</t>
        </is>
      </c>
      <c r="J34" s="13" t="inlineStr">
        <is>
          <t>Remote</t>
        </is>
      </c>
      <c r="K34" s="15" t="inlineStr">
        <is>
          <t>Ideal (3-6 yr)</t>
        </is>
      </c>
    </row>
    <row r="35">
      <c r="A35" s="13" t="n">
        <v>34</v>
      </c>
      <c r="B35" s="13" t="inlineStr">
        <is>
          <t>Immersive Infotech</t>
        </is>
      </c>
      <c r="C35" s="13" t="inlineStr">
        <is>
          <t>Sr. Python Developer</t>
        </is>
      </c>
      <c r="D35" s="13" t="inlineStr">
        <is>
          <t>Remote</t>
        </is>
      </c>
      <c r="E35" s="13" t="inlineStr">
        <is>
          <t>Indeed</t>
        </is>
      </c>
      <c r="F35" s="13" t="inlineStr">
        <is>
          <t>2026-07-29</t>
        </is>
      </c>
      <c r="G35" s="14">
        <f>HYPERLINK("https://to.indeed.com/aafcbjmfzrcx","Apply")</f>
        <v/>
      </c>
      <c r="H35" s="13" t="inlineStr">
        <is>
          <t>Tight</t>
        </is>
      </c>
      <c r="I35" s="13" t="inlineStr">
        <is>
          <t>★ Pan-India Remote</t>
        </is>
      </c>
      <c r="J35" s="13" t="inlineStr">
        <is>
          <t>Remote</t>
        </is>
      </c>
      <c r="K35" s="15" t="inlineStr">
        <is>
          <t>Ideal (3-6 yr)</t>
        </is>
      </c>
    </row>
    <row r="36">
      <c r="A36" s="13" t="n">
        <v>35</v>
      </c>
      <c r="B36" s="13" t="inlineStr">
        <is>
          <t>iVA TEK</t>
        </is>
      </c>
      <c r="C36" s="13" t="inlineStr">
        <is>
          <t>Full-Stack / Backend Developer</t>
        </is>
      </c>
      <c r="D36" s="13" t="inlineStr">
        <is>
          <t>Remote</t>
        </is>
      </c>
      <c r="E36" s="13" t="inlineStr">
        <is>
          <t>Indeed</t>
        </is>
      </c>
      <c r="F36" s="13" t="inlineStr">
        <is>
          <t>2026-06-24</t>
        </is>
      </c>
      <c r="G36" s="14">
        <f>HYPERLINK("https://to.indeed.com/aabjskzjgz72","Apply")</f>
        <v/>
      </c>
      <c r="H36" s="13" t="inlineStr">
        <is>
          <t>Reasonable</t>
        </is>
      </c>
      <c r="I36" s="13" t="inlineStr">
        <is>
          <t>★ Pan-India Remote</t>
        </is>
      </c>
      <c r="J36" s="13" t="inlineStr">
        <is>
          <t>Remote</t>
        </is>
      </c>
      <c r="K36" s="15" t="inlineStr">
        <is>
          <t>Ideal (3-6 yr)</t>
        </is>
      </c>
    </row>
    <row r="37">
      <c r="A37" s="30" t="n">
        <v>36</v>
      </c>
      <c r="B37" s="30" t="inlineStr">
        <is>
          <t>Aura Recruitment Solutions</t>
        </is>
      </c>
      <c r="C37" s="30" t="inlineStr">
        <is>
          <t>Senior AI Developer</t>
        </is>
      </c>
      <c r="D37" s="30" t="inlineStr">
        <is>
          <t>Remote</t>
        </is>
      </c>
      <c r="E37" s="30" t="inlineStr">
        <is>
          <t>Indeed</t>
        </is>
      </c>
      <c r="F37" s="30" t="inlineStr">
        <is>
          <t>2026-07-20</t>
        </is>
      </c>
      <c r="G37" s="31">
        <f>HYPERLINK("https://to.indeed.com/aa22n488qphm","Apply")</f>
        <v/>
      </c>
      <c r="H37" s="30" t="inlineStr">
        <is>
          <t>Reasonable</t>
        </is>
      </c>
      <c r="I37" s="30" t="inlineStr">
        <is>
          <t>★ Refresh Recruiter-posted, AI</t>
        </is>
      </c>
      <c r="J37" s="30" t="inlineStr">
        <is>
          <t>Remote</t>
        </is>
      </c>
      <c r="K37" s="30" t="inlineStr">
        <is>
          <t>Ideal (3-6 yr)</t>
        </is>
      </c>
    </row>
    <row r="38">
      <c r="A38" s="30" t="n">
        <v>37</v>
      </c>
      <c r="B38" s="30" t="inlineStr">
        <is>
          <t>New Media Guru</t>
        </is>
      </c>
      <c r="C38" s="30" t="inlineStr">
        <is>
          <t>Senior Python Developer</t>
        </is>
      </c>
      <c r="D38" s="30" t="inlineStr">
        <is>
          <t>Gurugram</t>
        </is>
      </c>
      <c r="E38" s="30" t="inlineStr">
        <is>
          <t>Indeed</t>
        </is>
      </c>
      <c r="F38" s="30" t="inlineStr">
        <is>
          <t>2026-07-15</t>
        </is>
      </c>
      <c r="G38" s="31">
        <f>HYPERLINK("https://to.indeed.com/aasxks6njtwd","Apply")</f>
        <v/>
      </c>
      <c r="H38" s="30" t="inlineStr">
        <is>
          <t>Tight</t>
        </is>
      </c>
      <c r="I38" s="30" t="inlineStr">
        <is>
          <t>★ Refresh Gurugram</t>
        </is>
      </c>
      <c r="J38" s="30" t="inlineStr">
        <is>
          <t>Onsite/Hybrid</t>
        </is>
      </c>
      <c r="K38" s="30" t="inlineStr">
        <is>
          <t>Ideal (3-6 yr)</t>
        </is>
      </c>
    </row>
    <row r="39">
      <c r="A39" s="30" t="n">
        <v>38</v>
      </c>
      <c r="B39" s="30" t="inlineStr">
        <is>
          <t>AWC Software</t>
        </is>
      </c>
      <c r="C39" s="30" t="inlineStr">
        <is>
          <t>Senior Developer – Backend</t>
        </is>
      </c>
      <c r="D39" s="30" t="inlineStr">
        <is>
          <t>Gurugram</t>
        </is>
      </c>
      <c r="E39" s="30" t="inlineStr">
        <is>
          <t>Indeed</t>
        </is>
      </c>
      <c r="F39" s="30" t="inlineStr">
        <is>
          <t>2026-07-07</t>
        </is>
      </c>
      <c r="G39" s="31">
        <f>HYPERLINK("https://to.indeed.com/aapvjgg8wcg8","Apply")</f>
        <v/>
      </c>
      <c r="H39" s="30" t="inlineStr">
        <is>
          <t>Tight</t>
        </is>
      </c>
      <c r="I39" s="30" t="inlineStr">
        <is>
          <t>★ Refresh Gurugram</t>
        </is>
      </c>
      <c r="J39" s="30" t="inlineStr">
        <is>
          <t>Onsite/Hybrid</t>
        </is>
      </c>
      <c r="K39" s="30" t="inlineStr">
        <is>
          <t>Ideal (3-6 yr)</t>
        </is>
      </c>
    </row>
    <row r="40">
      <c r="A40" s="30" t="n">
        <v>39</v>
      </c>
      <c r="B40" s="30" t="inlineStr">
        <is>
          <t>Fluper Ltd</t>
        </is>
      </c>
      <c r="C40" s="30" t="inlineStr">
        <is>
          <t>Python Developer with LLM</t>
        </is>
      </c>
      <c r="D40" s="30" t="inlineStr">
        <is>
          <t>Noida</t>
        </is>
      </c>
      <c r="E40" s="30" t="inlineStr">
        <is>
          <t>Indeed</t>
        </is>
      </c>
      <c r="F40" s="30" t="inlineStr">
        <is>
          <t>2026-07-20</t>
        </is>
      </c>
      <c r="G40" s="31">
        <f>HYPERLINK("https://to.indeed.com/aab64mv66jkj","Apply")</f>
        <v/>
      </c>
      <c r="H40" s="30" t="inlineStr">
        <is>
          <t>Tight</t>
        </is>
      </c>
      <c r="I40" s="30" t="inlineStr">
        <is>
          <t>★ Refresh LLM — agentic-AI fit</t>
        </is>
      </c>
      <c r="J40" s="30" t="inlineStr">
        <is>
          <t>Onsite/Hybrid</t>
        </is>
      </c>
      <c r="K40" s="30" t="inlineStr">
        <is>
          <t>Ideal (3-6 yr)</t>
        </is>
      </c>
    </row>
    <row r="41">
      <c r="A41" s="30" t="n">
        <v>40</v>
      </c>
      <c r="B41" s="30" t="inlineStr">
        <is>
          <t>RMgX Technologies</t>
        </is>
      </c>
      <c r="C41" s="30" t="inlineStr">
        <is>
          <t>Senior Associate (L1) - Python</t>
        </is>
      </c>
      <c r="D41" s="30" t="inlineStr">
        <is>
          <t>Delhi</t>
        </is>
      </c>
      <c r="E41" s="30" t="inlineStr">
        <is>
          <t>Indeed</t>
        </is>
      </c>
      <c r="F41" s="30" t="inlineStr">
        <is>
          <t>2026-06-26</t>
        </is>
      </c>
      <c r="G41" s="31">
        <f>HYPERLINK("https://to.indeed.com/aab9lc2rwzn9","Apply")</f>
        <v/>
      </c>
      <c r="H41" s="30" t="inlineStr">
        <is>
          <t>Reasonable</t>
        </is>
      </c>
      <c r="I41" s="30" t="inlineStr">
        <is>
          <t>★ Refresh Digital product studio</t>
        </is>
      </c>
      <c r="J41" s="30" t="inlineStr">
        <is>
          <t>Onsite/Hybrid</t>
        </is>
      </c>
      <c r="K41" s="30" t="inlineStr">
        <is>
          <t>Ideal (3-6 yr)</t>
        </is>
      </c>
    </row>
    <row r="42">
      <c r="A42" s="30" t="n">
        <v>41</v>
      </c>
      <c r="B42" s="30" t="inlineStr">
        <is>
          <t>Jupsoft Technologies</t>
        </is>
      </c>
      <c r="C42" s="30" t="inlineStr">
        <is>
          <t>Senior Full Stack Developer</t>
        </is>
      </c>
      <c r="D42" s="30" t="inlineStr">
        <is>
          <t>Noida</t>
        </is>
      </c>
      <c r="E42" s="30" t="inlineStr">
        <is>
          <t>Indeed</t>
        </is>
      </c>
      <c r="F42" s="30" t="inlineStr">
        <is>
          <t>2026-08-01</t>
        </is>
      </c>
      <c r="G42" s="31">
        <f>HYPERLINK("https://to.indeed.com/aa78cbj8ymfw","Apply")</f>
        <v/>
      </c>
      <c r="H42" s="30" t="inlineStr">
        <is>
          <t>Reasonable</t>
        </is>
      </c>
      <c r="I42" s="30" t="inlineStr">
        <is>
          <t>★ Refresh Full-stack</t>
        </is>
      </c>
      <c r="J42" s="30" t="inlineStr">
        <is>
          <t>Onsite</t>
        </is>
      </c>
      <c r="K42" s="30" t="inlineStr">
        <is>
          <t>Ideal (3-6 yr)</t>
        </is>
      </c>
    </row>
    <row r="43">
      <c r="A43" s="30" t="n">
        <v>42</v>
      </c>
      <c r="B43" s="30" t="inlineStr">
        <is>
          <t>Adobe</t>
        </is>
      </c>
      <c r="C43" s="30" t="inlineStr">
        <is>
          <t>Computer Scientist (Python)</t>
        </is>
      </c>
      <c r="D43" s="30" t="inlineStr">
        <is>
          <t>Noida</t>
        </is>
      </c>
      <c r="E43" s="30" t="inlineStr">
        <is>
          <t>Indeed</t>
        </is>
      </c>
      <c r="F43" s="30" t="inlineStr">
        <is>
          <t>2026-08-03</t>
        </is>
      </c>
      <c r="G43" s="31">
        <f>HYPERLINK("https://to.indeed.com/aa4yw7b6wymd","Apply")</f>
        <v/>
      </c>
      <c r="H43" s="30" t="inlineStr">
        <is>
          <t>Reasonable</t>
        </is>
      </c>
      <c r="I43" s="30" t="inlineStr">
        <is>
          <t>★ Refresh Product MNC, NCR</t>
        </is>
      </c>
      <c r="J43" s="30" t="inlineStr">
        <is>
          <t>Onsite/Hybrid</t>
        </is>
      </c>
      <c r="K43" s="30" t="inlineStr">
        <is>
          <t>Ideal (3-6 yr)</t>
        </is>
      </c>
    </row>
  </sheetData>
  <autoFilter ref="A1:I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4" customWidth="1" min="3" max="3"/>
    <col width="22" customWidth="1" min="4" max="4"/>
    <col width="14" customWidth="1" min="5" max="5"/>
    <col width="12" customWidth="1" min="6" max="6"/>
    <col width="9" customWidth="1" min="7" max="7"/>
    <col width="9" customWidth="1" min="8" max="8"/>
    <col width="9" customWidth="1" min="9" max="9"/>
  </cols>
  <sheetData>
    <row r="1">
      <c r="A1" s="18" t="inlineStr">
        <is>
          <t>PRIORITY LIST — Python Backend Developer (~4 yr) · Tight + Ideal · LIVE only</t>
        </is>
      </c>
    </row>
    <row r="3">
      <c r="A3" s="19" t="inlineStr">
        <is>
          <t>#</t>
        </is>
      </c>
      <c r="B3" s="19" t="inlineStr">
        <is>
          <t>Company</t>
        </is>
      </c>
      <c r="C3" s="19" t="inlineStr">
        <is>
          <t>Role / Title</t>
        </is>
      </c>
      <c r="D3" s="19" t="inlineStr">
        <is>
          <t>Location</t>
        </is>
      </c>
      <c r="E3" s="19" t="inlineStr">
        <is>
          <t>Mode</t>
        </is>
      </c>
      <c r="F3" s="19" t="inlineStr">
        <is>
          <t>Posted</t>
        </is>
      </c>
      <c r="G3" s="19" t="inlineStr">
        <is>
          <t>Match</t>
        </is>
      </c>
      <c r="H3" s="19" t="inlineStr">
        <is>
          <t>Exp Fit</t>
        </is>
      </c>
      <c r="I3" s="19" t="inlineStr">
        <is>
          <t>Apply</t>
        </is>
      </c>
    </row>
    <row r="4">
      <c r="A4" s="20" t="n">
        <v>1</v>
      </c>
      <c r="B4" s="21" t="inlineStr">
        <is>
          <t>YMinds.AI</t>
        </is>
      </c>
      <c r="C4" s="21" t="inlineStr">
        <is>
          <t>Senior Python Backend Developer - AI/ML (4+ yrs)</t>
        </is>
      </c>
      <c r="D4" s="21" t="inlineStr">
        <is>
          <t>Remote</t>
        </is>
      </c>
      <c r="E4" s="22" t="inlineStr">
        <is>
          <t>Remote</t>
        </is>
      </c>
      <c r="F4" s="20" t="inlineStr">
        <is>
          <t>2026</t>
        </is>
      </c>
      <c r="G4" s="23" t="inlineStr">
        <is>
          <t>Tight</t>
        </is>
      </c>
      <c r="H4" s="20" t="inlineStr">
        <is>
          <t>Ideal</t>
        </is>
      </c>
      <c r="I4" s="24">
        <f>HYPERLINK("https://in.linkedin.com/jobs/view/senior-python-backend-developer-ai-ml-4+-years-experience-immediate-joiner-remote-at-yminds-ai-4387945955","Apply")</f>
        <v/>
      </c>
    </row>
    <row r="5">
      <c r="A5" s="20" t="n">
        <v>2</v>
      </c>
      <c r="B5" s="21" t="inlineStr">
        <is>
          <t>6sense</t>
        </is>
      </c>
      <c r="C5" s="21" t="inlineStr">
        <is>
          <t>Python Developer - Backend (Remote)</t>
        </is>
      </c>
      <c r="D5" s="21" t="inlineStr">
        <is>
          <t>Remote</t>
        </is>
      </c>
      <c r="E5" s="22" t="inlineStr">
        <is>
          <t>Remote</t>
        </is>
      </c>
      <c r="F5" s="20" t="inlineStr">
        <is>
          <t>2026</t>
        </is>
      </c>
      <c r="G5" s="23" t="inlineStr">
        <is>
          <t>Tight</t>
        </is>
      </c>
      <c r="H5" s="20" t="inlineStr">
        <is>
          <t>Ideal</t>
        </is>
      </c>
      <c r="I5" s="24">
        <f>HYPERLINK("https://cutshort.io/job/Python-Developer-Backend-6sense-z5mniNnd","Apply")</f>
        <v/>
      </c>
    </row>
    <row r="6">
      <c r="A6" s="20" t="n">
        <v>3</v>
      </c>
      <c r="B6" s="21" t="inlineStr">
        <is>
          <t>Skyloov Property Portal</t>
        </is>
      </c>
      <c r="C6" s="21" t="inlineStr">
        <is>
          <t>Senior Python Developer</t>
        </is>
      </c>
      <c r="D6" s="21" t="inlineStr">
        <is>
          <t>Remote</t>
        </is>
      </c>
      <c r="E6" s="22" t="inlineStr">
        <is>
          <t>Remote</t>
        </is>
      </c>
      <c r="F6" s="20" t="inlineStr">
        <is>
          <t>2026-06-16</t>
        </is>
      </c>
      <c r="G6" s="23" t="inlineStr">
        <is>
          <t>Tight</t>
        </is>
      </c>
      <c r="H6" s="20" t="inlineStr">
        <is>
          <t>Ideal</t>
        </is>
      </c>
      <c r="I6" s="24">
        <f>HYPERLINK("https://to.indeed.com/aashyhnzhqkz","Apply")</f>
        <v/>
      </c>
    </row>
    <row r="7">
      <c r="A7" s="20" t="n">
        <v>4</v>
      </c>
      <c r="B7" s="21" t="inlineStr">
        <is>
          <t>HelixBeat</t>
        </is>
      </c>
      <c r="C7" s="21" t="inlineStr">
        <is>
          <t>Senior Engineer — Python, Django/FastAPI, Airflow/PySpark</t>
        </is>
      </c>
      <c r="D7" s="21" t="inlineStr">
        <is>
          <t>Remote</t>
        </is>
      </c>
      <c r="E7" s="22" t="inlineStr">
        <is>
          <t>Remote</t>
        </is>
      </c>
      <c r="F7" s="20" t="inlineStr">
        <is>
          <t>2026-07-29</t>
        </is>
      </c>
      <c r="G7" s="23" t="inlineStr">
        <is>
          <t>Tight</t>
        </is>
      </c>
      <c r="H7" s="20" t="inlineStr">
        <is>
          <t>Ideal</t>
        </is>
      </c>
      <c r="I7" s="24">
        <f>HYPERLINK("https://to.indeed.com/aaywk8glgdcn","Apply")</f>
        <v/>
      </c>
    </row>
    <row r="8">
      <c r="A8" s="20" t="n">
        <v>5</v>
      </c>
      <c r="B8" s="21" t="inlineStr">
        <is>
          <t>Immersive Infotech</t>
        </is>
      </c>
      <c r="C8" s="21" t="inlineStr">
        <is>
          <t>Sr. Python Developer</t>
        </is>
      </c>
      <c r="D8" s="21" t="inlineStr">
        <is>
          <t>Remote</t>
        </is>
      </c>
      <c r="E8" s="22" t="inlineStr">
        <is>
          <t>Remote</t>
        </is>
      </c>
      <c r="F8" s="20" t="inlineStr">
        <is>
          <t>2026-07-29</t>
        </is>
      </c>
      <c r="G8" s="23" t="inlineStr">
        <is>
          <t>Tight</t>
        </is>
      </c>
      <c r="H8" s="20" t="inlineStr">
        <is>
          <t>Ideal</t>
        </is>
      </c>
      <c r="I8" s="24">
        <f>HYPERLINK("https://to.indeed.com/aafcbjmfzrcx","Apply")</f>
        <v/>
      </c>
    </row>
    <row r="9">
      <c r="A9" s="20" t="n">
        <v>6</v>
      </c>
      <c r="B9" s="21" t="inlineStr">
        <is>
          <t>Team HR</t>
        </is>
      </c>
      <c r="C9" s="21" t="inlineStr">
        <is>
          <t>Senior Python Developer</t>
        </is>
      </c>
      <c r="D9" s="21" t="inlineStr">
        <is>
          <t>Ahmedabad</t>
        </is>
      </c>
      <c r="E9" s="25" t="inlineStr">
        <is>
          <t>Onsite/Hybrid</t>
        </is>
      </c>
      <c r="F9" s="20" t="inlineStr">
        <is>
          <t>2026-07-20</t>
        </is>
      </c>
      <c r="G9" s="23" t="inlineStr">
        <is>
          <t>Tight</t>
        </is>
      </c>
      <c r="H9" s="20" t="inlineStr">
        <is>
          <t>Ideal</t>
        </is>
      </c>
      <c r="I9" s="24">
        <f>HYPERLINK("https://to.indeed.com/aa9xxlv6p6cv","Apply")</f>
        <v/>
      </c>
    </row>
    <row r="10">
      <c r="A10" s="20" t="n">
        <v>7</v>
      </c>
      <c r="B10" s="21" t="inlineStr">
        <is>
          <t>New Media Guru</t>
        </is>
      </c>
      <c r="C10" s="21" t="inlineStr">
        <is>
          <t>Senior Python Developer</t>
        </is>
      </c>
      <c r="D10" s="21" t="inlineStr">
        <is>
          <t>Gurugram</t>
        </is>
      </c>
      <c r="E10" s="25" t="inlineStr">
        <is>
          <t>Onsite/Hybrid</t>
        </is>
      </c>
      <c r="F10" s="20" t="inlineStr">
        <is>
          <t>2026-07-15</t>
        </is>
      </c>
      <c r="G10" s="23" t="inlineStr">
        <is>
          <t>Tight</t>
        </is>
      </c>
      <c r="H10" s="20" t="inlineStr">
        <is>
          <t>Ideal</t>
        </is>
      </c>
      <c r="I10" s="24">
        <f>HYPERLINK("https://to.indeed.com/aasxks6njtwd","Apply")</f>
        <v/>
      </c>
    </row>
    <row r="11">
      <c r="A11" s="20" t="n">
        <v>8</v>
      </c>
      <c r="B11" s="21" t="inlineStr">
        <is>
          <t>AWC Software</t>
        </is>
      </c>
      <c r="C11" s="21" t="inlineStr">
        <is>
          <t>Senior Developer – Backend</t>
        </is>
      </c>
      <c r="D11" s="21" t="inlineStr">
        <is>
          <t>Gurugram</t>
        </is>
      </c>
      <c r="E11" s="25" t="inlineStr">
        <is>
          <t>Onsite/Hybrid</t>
        </is>
      </c>
      <c r="F11" s="20" t="inlineStr">
        <is>
          <t>2026-07-07</t>
        </is>
      </c>
      <c r="G11" s="23" t="inlineStr">
        <is>
          <t>Tight</t>
        </is>
      </c>
      <c r="H11" s="20" t="inlineStr">
        <is>
          <t>Ideal</t>
        </is>
      </c>
      <c r="I11" s="24">
        <f>HYPERLINK("https://to.indeed.com/aapvjgg8wcg8","Apply")</f>
        <v/>
      </c>
    </row>
    <row r="12">
      <c r="A12" s="20" t="n">
        <v>9</v>
      </c>
      <c r="B12" s="21" t="inlineStr">
        <is>
          <t>DSMD.inc</t>
        </is>
      </c>
      <c r="C12" s="21" t="inlineStr">
        <is>
          <t>Senior Python Developer</t>
        </is>
      </c>
      <c r="D12" s="21" t="inlineStr">
        <is>
          <t>Mumbai</t>
        </is>
      </c>
      <c r="E12" s="25" t="inlineStr">
        <is>
          <t>Onsite/Hybrid</t>
        </is>
      </c>
      <c r="F12" s="20" t="inlineStr">
        <is>
          <t>2026-07-15</t>
        </is>
      </c>
      <c r="G12" s="23" t="inlineStr">
        <is>
          <t>Tight</t>
        </is>
      </c>
      <c r="H12" s="20" t="inlineStr">
        <is>
          <t>Ideal</t>
        </is>
      </c>
      <c r="I12" s="24">
        <f>HYPERLINK("https://to.indeed.com/aa2cvvqpwhy2","Apply")</f>
        <v/>
      </c>
    </row>
    <row r="13">
      <c r="A13" s="20" t="n">
        <v>10</v>
      </c>
      <c r="B13" s="21" t="inlineStr">
        <is>
          <t>InterProducTec Virtual Labs</t>
        </is>
      </c>
      <c r="C13" s="21" t="inlineStr">
        <is>
          <t>Sr. Python Backend Developer</t>
        </is>
      </c>
      <c r="D13" s="21" t="inlineStr">
        <is>
          <t>Navi Mumbai (Airoli)</t>
        </is>
      </c>
      <c r="E13" s="25" t="inlineStr">
        <is>
          <t>Onsite/Hybrid</t>
        </is>
      </c>
      <c r="F13" s="20" t="inlineStr">
        <is>
          <t>2026-07-14</t>
        </is>
      </c>
      <c r="G13" s="23" t="inlineStr">
        <is>
          <t>Tight</t>
        </is>
      </c>
      <c r="H13" s="20" t="inlineStr">
        <is>
          <t>Ideal</t>
        </is>
      </c>
      <c r="I13" s="24">
        <f>HYPERLINK("https://to.indeed.com/aazghkbhv4s6","Apply")</f>
        <v/>
      </c>
    </row>
    <row r="14">
      <c r="A14" s="20" t="n">
        <v>11</v>
      </c>
      <c r="B14" s="21" t="inlineStr">
        <is>
          <t>Fluper Ltd</t>
        </is>
      </c>
      <c r="C14" s="21" t="inlineStr">
        <is>
          <t>Python Developer with LLM</t>
        </is>
      </c>
      <c r="D14" s="21" t="inlineStr">
        <is>
          <t>Noida</t>
        </is>
      </c>
      <c r="E14" s="25" t="inlineStr">
        <is>
          <t>Onsite/Hybrid</t>
        </is>
      </c>
      <c r="F14" s="20" t="inlineStr">
        <is>
          <t>2026-07-20</t>
        </is>
      </c>
      <c r="G14" s="23" t="inlineStr">
        <is>
          <t>Tight</t>
        </is>
      </c>
      <c r="H14" s="20" t="inlineStr">
        <is>
          <t>Ideal</t>
        </is>
      </c>
      <c r="I14" s="24">
        <f>HYPERLINK("https://to.indeed.com/aab64mv66jkj","Apply")</f>
        <v/>
      </c>
    </row>
    <row r="15">
      <c r="A15" s="20" t="n">
        <v>12</v>
      </c>
      <c r="B15" s="21" t="inlineStr">
        <is>
          <t>Valiant Systems</t>
        </is>
      </c>
      <c r="C15" s="21" t="inlineStr">
        <is>
          <t>Senior Python Developer</t>
        </is>
      </c>
      <c r="D15" s="21" t="inlineStr">
        <is>
          <t>Chennai (Porur)</t>
        </is>
      </c>
      <c r="E15" s="25" t="inlineStr">
        <is>
          <t>Onsite</t>
        </is>
      </c>
      <c r="F15" s="20" t="inlineStr">
        <is>
          <t>2026-07-13</t>
        </is>
      </c>
      <c r="G15" s="23" t="inlineStr">
        <is>
          <t>Tight</t>
        </is>
      </c>
      <c r="H15" s="20" t="inlineStr">
        <is>
          <t>Ideal</t>
        </is>
      </c>
      <c r="I15" s="24">
        <f>HYPERLINK("https://to.indeed.com/aa89qvp66ggl","Apply")</f>
        <v/>
      </c>
    </row>
    <row r="16">
      <c r="A16" s="20" t="n">
        <v>13</v>
      </c>
      <c r="B16" s="21" t="inlineStr">
        <is>
          <t>Orangedatatech</t>
        </is>
      </c>
      <c r="C16" s="21" t="inlineStr">
        <is>
          <t>Senior Python Developer</t>
        </is>
      </c>
      <c r="D16" s="21" t="inlineStr">
        <is>
          <t>Indore</t>
        </is>
      </c>
      <c r="E16" s="25" t="inlineStr">
        <is>
          <t>Onsite</t>
        </is>
      </c>
      <c r="F16" s="20" t="inlineStr">
        <is>
          <t>2026-07-22</t>
        </is>
      </c>
      <c r="G16" s="23" t="inlineStr">
        <is>
          <t>Tight</t>
        </is>
      </c>
      <c r="H16" s="20" t="inlineStr">
        <is>
          <t>Ideal</t>
        </is>
      </c>
      <c r="I16" s="24">
        <f>HYPERLINK("https://to.indeed.com/aam7xnvzwddq","Apply")</f>
        <v/>
      </c>
    </row>
    <row r="17">
      <c r="A17" s="20" t="n">
        <v>14</v>
      </c>
      <c r="B17" s="21" t="inlineStr">
        <is>
          <t>HireTo Co.</t>
        </is>
      </c>
      <c r="C17" s="21" t="inlineStr">
        <is>
          <t>Senior Backend Developer Python/Django</t>
        </is>
      </c>
      <c r="D17" s="21" t="inlineStr">
        <is>
          <t>India</t>
        </is>
      </c>
      <c r="E17" s="26" t="inlineStr">
        <is>
          <t>Varies</t>
        </is>
      </c>
      <c r="F17" s="20" t="inlineStr">
        <is>
          <t>2026</t>
        </is>
      </c>
      <c r="G17" s="23" t="inlineStr">
        <is>
          <t>Tight</t>
        </is>
      </c>
      <c r="H17" s="20" t="inlineStr">
        <is>
          <t>Ideal</t>
        </is>
      </c>
      <c r="I17" s="24">
        <f>HYPERLINK("https://in.linkedin.com/jobs/senior-backend-developer-python-django-jobs","Apply")</f>
        <v/>
      </c>
    </row>
    <row r="18">
      <c r="A18" s="20" t="n">
        <v>15</v>
      </c>
      <c r="B18" s="21" t="inlineStr">
        <is>
          <t>Solvex Solutions</t>
        </is>
      </c>
      <c r="C18" s="21" t="inlineStr">
        <is>
          <t>Senior Backend Developer Python/Django</t>
        </is>
      </c>
      <c r="D18" s="21" t="inlineStr">
        <is>
          <t>India</t>
        </is>
      </c>
      <c r="E18" s="26" t="inlineStr">
        <is>
          <t>Varies</t>
        </is>
      </c>
      <c r="F18" s="20" t="inlineStr">
        <is>
          <t>2026</t>
        </is>
      </c>
      <c r="G18" s="23" t="inlineStr">
        <is>
          <t>Tight</t>
        </is>
      </c>
      <c r="H18" s="20" t="inlineStr">
        <is>
          <t>Ideal</t>
        </is>
      </c>
      <c r="I18" s="24">
        <f>HYPERLINK("https://in.linkedin.com/jobs/senior-backend-developer-python-django-jobs","Apply")</f>
        <v/>
      </c>
    </row>
    <row r="19">
      <c r="A19" s="20" t="n">
        <v>16</v>
      </c>
      <c r="B19" s="21" t="inlineStr">
        <is>
          <t>Hexatic</t>
        </is>
      </c>
      <c r="C19" s="21" t="inlineStr">
        <is>
          <t>Senior Backend Developer Python/Django</t>
        </is>
      </c>
      <c r="D19" s="21" t="inlineStr">
        <is>
          <t>India</t>
        </is>
      </c>
      <c r="E19" s="26" t="inlineStr">
        <is>
          <t>Varies</t>
        </is>
      </c>
      <c r="F19" s="20" t="inlineStr">
        <is>
          <t>2026</t>
        </is>
      </c>
      <c r="G19" s="23" t="inlineStr">
        <is>
          <t>Tight</t>
        </is>
      </c>
      <c r="H19" s="20" t="inlineStr">
        <is>
          <t>Ideal</t>
        </is>
      </c>
      <c r="I19" s="24">
        <f>HYPERLINK("https://in.linkedin.com/jobs/senior-backend-developer-python-django-jobs","Apply")</f>
        <v/>
      </c>
    </row>
    <row r="20">
      <c r="A20" s="20" t="n">
        <v>17</v>
      </c>
      <c r="B20" s="21" t="inlineStr">
        <is>
          <t>VGreen Technology Solutions</t>
        </is>
      </c>
      <c r="C20" s="21" t="inlineStr">
        <is>
          <t>Senior Backend Developer Python/Django</t>
        </is>
      </c>
      <c r="D20" s="21" t="inlineStr">
        <is>
          <t>India</t>
        </is>
      </c>
      <c r="E20" s="26" t="inlineStr">
        <is>
          <t>Varies</t>
        </is>
      </c>
      <c r="F20" s="20" t="inlineStr">
        <is>
          <t>2026</t>
        </is>
      </c>
      <c r="G20" s="23" t="inlineStr">
        <is>
          <t>Tight</t>
        </is>
      </c>
      <c r="H20" s="20" t="inlineStr">
        <is>
          <t>Ideal</t>
        </is>
      </c>
      <c r="I20" s="24">
        <f>HYPERLINK("https://in.linkedin.com/jobs/senior-backend-developer-python-django-jobs","Apply")</f>
        <v/>
      </c>
    </row>
    <row r="21">
      <c r="A21" s="20" t="n">
        <v>18</v>
      </c>
      <c r="B21" s="21" t="inlineStr">
        <is>
          <t>Schneider Electric</t>
        </is>
      </c>
      <c r="C21" s="21" t="inlineStr">
        <is>
          <t>Senior Backend Developer Python/Django</t>
        </is>
      </c>
      <c r="D21" s="21" t="inlineStr">
        <is>
          <t>India</t>
        </is>
      </c>
      <c r="E21" s="26" t="inlineStr">
        <is>
          <t>Varies</t>
        </is>
      </c>
      <c r="F21" s="20" t="inlineStr">
        <is>
          <t>2026</t>
        </is>
      </c>
      <c r="G21" s="23" t="inlineStr">
        <is>
          <t>Tight</t>
        </is>
      </c>
      <c r="H21" s="20" t="inlineStr">
        <is>
          <t>Ideal</t>
        </is>
      </c>
      <c r="I21" s="24">
        <f>HYPERLINK("https://in.linkedin.com/jobs/senior-backend-developer-python-django-jobs","Apply")</f>
        <v/>
      </c>
    </row>
    <row r="22">
      <c r="A22" s="20" t="n">
        <v>19</v>
      </c>
      <c r="B22" s="21" t="inlineStr">
        <is>
          <t>Arctic Wolf</t>
        </is>
      </c>
      <c r="C22" s="21" t="inlineStr">
        <is>
          <t>Senior Backend Developer Python/Django</t>
        </is>
      </c>
      <c r="D22" s="21" t="inlineStr">
        <is>
          <t>India</t>
        </is>
      </c>
      <c r="E22" s="26" t="inlineStr">
        <is>
          <t>Varies</t>
        </is>
      </c>
      <c r="F22" s="20" t="inlineStr">
        <is>
          <t>2026</t>
        </is>
      </c>
      <c r="G22" s="23" t="inlineStr">
        <is>
          <t>Tight</t>
        </is>
      </c>
      <c r="H22" s="20" t="inlineStr">
        <is>
          <t>Ideal</t>
        </is>
      </c>
      <c r="I22" s="24">
        <f>HYPERLINK("https://in.linkedin.com/jobs/senior-backend-developer-python-django-jobs","Apply")</f>
        <v/>
      </c>
    </row>
    <row r="23">
      <c r="A23" s="20" t="n">
        <v>20</v>
      </c>
      <c r="B23" s="21" t="inlineStr">
        <is>
          <t>vueverse</t>
        </is>
      </c>
      <c r="C23" s="21" t="inlineStr">
        <is>
          <t>Senior Python Backend Developer</t>
        </is>
      </c>
      <c r="D23" s="21" t="inlineStr">
        <is>
          <t>India</t>
        </is>
      </c>
      <c r="E23" s="26" t="inlineStr">
        <is>
          <t>Varies</t>
        </is>
      </c>
      <c r="F23" s="20" t="inlineStr">
        <is>
          <t>2026</t>
        </is>
      </c>
      <c r="G23" s="23" t="inlineStr">
        <is>
          <t>Tight</t>
        </is>
      </c>
      <c r="H23" s="20" t="inlineStr">
        <is>
          <t>Ideal</t>
        </is>
      </c>
      <c r="I23" s="24">
        <f>HYPERLINK("https://cutshort.io/jobs/senior-python-developer-jobs","Apply")</f>
        <v/>
      </c>
    </row>
    <row r="24">
      <c r="A24" s="20" t="n">
        <v>21</v>
      </c>
      <c r="B24" s="21" t="inlineStr">
        <is>
          <t>Infomanav</t>
        </is>
      </c>
      <c r="C24" s="21" t="inlineStr">
        <is>
          <t>Senior Python Backend Developer</t>
        </is>
      </c>
      <c r="D24" s="21" t="inlineStr">
        <is>
          <t>India</t>
        </is>
      </c>
      <c r="E24" s="26" t="inlineStr">
        <is>
          <t>Varies</t>
        </is>
      </c>
      <c r="F24" s="20" t="inlineStr">
        <is>
          <t>2026</t>
        </is>
      </c>
      <c r="G24" s="23" t="inlineStr">
        <is>
          <t>Tight</t>
        </is>
      </c>
      <c r="H24" s="20" t="inlineStr">
        <is>
          <t>Ideal</t>
        </is>
      </c>
      <c r="I24" s="24">
        <f>HYPERLINK("https://cutshort.io/jobs/senior-python-developer-jobs","Apply")</f>
        <v/>
      </c>
    </row>
    <row r="25">
      <c r="A25" s="20" t="n">
        <v>22</v>
      </c>
      <c r="B25" s="21" t="inlineStr">
        <is>
          <t>SolutionChamps DesignLabs</t>
        </is>
      </c>
      <c r="C25" s="21" t="inlineStr">
        <is>
          <t>Senior Python Backend Developer</t>
        </is>
      </c>
      <c r="D25" s="21" t="inlineStr">
        <is>
          <t>India</t>
        </is>
      </c>
      <c r="E25" s="26" t="inlineStr">
        <is>
          <t>Varies</t>
        </is>
      </c>
      <c r="F25" s="20" t="inlineStr">
        <is>
          <t>2026</t>
        </is>
      </c>
      <c r="G25" s="23" t="inlineStr">
        <is>
          <t>Tight</t>
        </is>
      </c>
      <c r="H25" s="20" t="inlineStr">
        <is>
          <t>Ideal</t>
        </is>
      </c>
      <c r="I25" s="24">
        <f>HYPERLINK("https://cutshort.io/jobs/senior-python-developer-jobs","Apply")</f>
        <v/>
      </c>
    </row>
    <row r="26">
      <c r="A26" s="20" t="n">
        <v>23</v>
      </c>
      <c r="B26" s="21" t="inlineStr">
        <is>
          <t>Syneos Health</t>
        </is>
      </c>
      <c r="C26" s="21" t="inlineStr">
        <is>
          <t>Senior Python Backend Developer</t>
        </is>
      </c>
      <c r="D26" s="21" t="inlineStr">
        <is>
          <t>India</t>
        </is>
      </c>
      <c r="E26" s="26" t="inlineStr">
        <is>
          <t>Varies</t>
        </is>
      </c>
      <c r="F26" s="20" t="inlineStr">
        <is>
          <t>2026</t>
        </is>
      </c>
      <c r="G26" s="23" t="inlineStr">
        <is>
          <t>Tight</t>
        </is>
      </c>
      <c r="H26" s="20" t="inlineStr">
        <is>
          <t>Ideal</t>
        </is>
      </c>
      <c r="I26" s="24">
        <f>HYPERLINK("https://cutshort.io/jobs/senior-python-developer-jobs","Apply")</f>
        <v/>
      </c>
    </row>
    <row r="27">
      <c r="A27" s="20" t="n">
        <v>24</v>
      </c>
      <c r="B27" s="21" t="inlineStr">
        <is>
          <t>Intellectsoft</t>
        </is>
      </c>
      <c r="C27" s="21" t="inlineStr">
        <is>
          <t>Senior Python Backend Developer</t>
        </is>
      </c>
      <c r="D27" s="21" t="inlineStr">
        <is>
          <t>India</t>
        </is>
      </c>
      <c r="E27" s="26" t="inlineStr">
        <is>
          <t>Varies</t>
        </is>
      </c>
      <c r="F27" s="20" t="inlineStr">
        <is>
          <t>2026</t>
        </is>
      </c>
      <c r="G27" s="23" t="inlineStr">
        <is>
          <t>Tight</t>
        </is>
      </c>
      <c r="H27" s="20" t="inlineStr">
        <is>
          <t>Ideal</t>
        </is>
      </c>
      <c r="I27" s="24">
        <f>HYPERLINK("https://cutshort.io/jobs/senior-python-developer-jobs","Apply")</f>
        <v/>
      </c>
    </row>
    <row r="28">
      <c r="A28" s="20" t="n">
        <v>25</v>
      </c>
      <c r="B28" s="21" t="inlineStr">
        <is>
          <t>Dataviv Technologies</t>
        </is>
      </c>
      <c r="C28" s="21" t="inlineStr">
        <is>
          <t>Senior Python Backend Developer</t>
        </is>
      </c>
      <c r="D28" s="21" t="inlineStr">
        <is>
          <t>India</t>
        </is>
      </c>
      <c r="E28" s="26" t="inlineStr">
        <is>
          <t>Varies</t>
        </is>
      </c>
      <c r="F28" s="20" t="inlineStr">
        <is>
          <t>2026</t>
        </is>
      </c>
      <c r="G28" s="23" t="inlineStr">
        <is>
          <t>Tight</t>
        </is>
      </c>
      <c r="H28" s="20" t="inlineStr">
        <is>
          <t>Ideal</t>
        </is>
      </c>
      <c r="I28" s="24">
        <f>HYPERLINK("https://cutshort.io/jobs/senior-python-developer-jobs","Apply")</f>
        <v/>
      </c>
    </row>
    <row r="29">
      <c r="A29" s="20" t="n">
        <v>26</v>
      </c>
      <c r="B29" s="21" t="inlineStr">
        <is>
          <t>ChicMic Studios</t>
        </is>
      </c>
      <c r="C29" s="21" t="inlineStr">
        <is>
          <t>Senior Python Backend Developer</t>
        </is>
      </c>
      <c r="D29" s="21" t="inlineStr">
        <is>
          <t>India</t>
        </is>
      </c>
      <c r="E29" s="26" t="inlineStr">
        <is>
          <t>Varies</t>
        </is>
      </c>
      <c r="F29" s="20" t="inlineStr">
        <is>
          <t>2026</t>
        </is>
      </c>
      <c r="G29" s="23" t="inlineStr">
        <is>
          <t>Tight</t>
        </is>
      </c>
      <c r="H29" s="20" t="inlineStr">
        <is>
          <t>Ideal</t>
        </is>
      </c>
      <c r="I29" s="24">
        <f>HYPERLINK("https://cutshort.io/jobs/senior-python-developer-jobs","Apply")</f>
        <v/>
      </c>
    </row>
  </sheetData>
  <autoFilter ref="A3:I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4" customWidth="1" min="3" max="3"/>
    <col width="34" customWidth="1" min="4" max="4"/>
    <col width="16" customWidth="1" min="5" max="5"/>
  </cols>
  <sheetData>
    <row r="1">
      <c r="A1" s="18" t="inlineStr">
        <is>
          <t>LIVE JOB-SEARCH LINKS — Python Backend Developer (4 yr) · India</t>
        </is>
      </c>
    </row>
    <row r="2">
      <c r="A2" s="27" t="inlineStr">
        <is>
          <t>Click "Open Search" to run a pre-filled, live search on each site. (Some need login: LinkedIn, Instahyre, Wellfound.)</t>
        </is>
      </c>
    </row>
    <row r="4">
      <c r="A4" s="19" t="inlineStr">
        <is>
          <t>#</t>
        </is>
      </c>
      <c r="B4" s="19" t="inlineStr">
        <is>
          <t>Site</t>
        </is>
      </c>
      <c r="C4" s="19" t="inlineStr">
        <is>
          <t>What it searches</t>
        </is>
      </c>
      <c r="D4" s="19" t="inlineStr">
        <is>
          <t>Note</t>
        </is>
      </c>
      <c r="E4" s="19" t="inlineStr">
        <is>
          <t>Open Search</t>
        </is>
      </c>
    </row>
    <row r="5">
      <c r="A5" s="20" t="n">
        <v>1</v>
      </c>
      <c r="B5" s="28" t="inlineStr">
        <is>
          <t>LinkedIn</t>
        </is>
      </c>
      <c r="C5" s="28" t="inlineStr">
        <is>
          <t>Senior Python Backend Developer · India · Mid-Senior</t>
        </is>
      </c>
      <c r="D5" s="28" t="inlineStr">
        <is>
          <t>Best for network + recruiters</t>
        </is>
      </c>
      <c r="E5" s="24">
        <f>HYPERLINK("https://www.linkedin.com/jobs/search/?keywords=Senior%20Python%20Backend%20Developer&amp;location=India&amp;f_E=3%2C4&amp;f_TPR=r604800","Open Search")</f>
        <v/>
      </c>
    </row>
    <row r="6">
      <c r="A6" s="20" t="n">
        <v>2</v>
      </c>
      <c r="B6" s="28" t="inlineStr">
        <is>
          <t>LinkedIn (Remote)</t>
        </is>
      </c>
      <c r="C6" s="28" t="inlineStr">
        <is>
          <t>Python Backend Developer · India · Remote</t>
        </is>
      </c>
      <c r="D6" s="28" t="inlineStr">
        <is>
          <t>Remote-only filter (f_WT=2)</t>
        </is>
      </c>
      <c r="E6" s="24">
        <f>HYPERLINK("https://www.linkedin.com/jobs/search/?keywords=Python%20Backend%20Developer&amp;location=India&amp;f_E=3%2C4&amp;f_WT=2","Open Search")</f>
        <v/>
      </c>
    </row>
    <row r="7">
      <c r="A7" s="20" t="n">
        <v>3</v>
      </c>
      <c r="B7" s="28" t="inlineStr">
        <is>
          <t>Naukri</t>
        </is>
      </c>
      <c r="C7" s="28" t="inlineStr">
        <is>
          <t>Senior Python Backend Developer · 4 yr exp</t>
        </is>
      </c>
      <c r="D7" s="28" t="inlineStr">
        <is>
          <t>India’s biggest job board</t>
        </is>
      </c>
      <c r="E7" s="24">
        <f>HYPERLINK("https://www.naukri.com/senior-python-backend-developer-jobs?experience=4","Open Search")</f>
        <v/>
      </c>
    </row>
    <row r="8">
      <c r="A8" s="20" t="n">
        <v>4</v>
      </c>
      <c r="B8" s="28" t="inlineStr">
        <is>
          <t>Naukri (Remote)</t>
        </is>
      </c>
      <c r="C8" s="28" t="inlineStr">
        <is>
          <t>Python Backend Developer · Remote</t>
        </is>
      </c>
      <c r="D8" s="28" t="inlineStr">
        <is>
          <t>Remote roles on Naukri</t>
        </is>
      </c>
      <c r="E8" s="24">
        <f>HYPERLINK("https://www.naukri.com/python-backend-developer-jobs?wfhType=1","Open Search")</f>
        <v/>
      </c>
    </row>
    <row r="9">
      <c r="A9" s="20" t="n">
        <v>5</v>
      </c>
      <c r="B9" s="28" t="inlineStr">
        <is>
          <t>Indeed India</t>
        </is>
      </c>
      <c r="C9" s="28" t="inlineStr">
        <is>
          <t>Senior Python Backend Developer · India</t>
        </is>
      </c>
      <c r="D9" s="28" t="inlineStr">
        <is>
          <t>Broad aggregator</t>
        </is>
      </c>
      <c r="E9" s="24">
        <f>HYPERLINK("https://in.indeed.com/jobs?q=Senior+Python+Backend+Developer&amp;l=India","Open Search")</f>
        <v/>
      </c>
    </row>
    <row r="10">
      <c r="A10" s="20" t="n">
        <v>6</v>
      </c>
      <c r="B10" s="28" t="inlineStr">
        <is>
          <t>Indeed (Remote)</t>
        </is>
      </c>
      <c r="C10" s="28" t="inlineStr">
        <is>
          <t>Python Backend Developer · Remote</t>
        </is>
      </c>
      <c r="D10" s="28" t="inlineStr">
        <is>
          <t>Remote-only</t>
        </is>
      </c>
      <c r="E10" s="24">
        <f>HYPERLINK("https://in.indeed.com/jobs?q=Python+Backend+Developer&amp;l=Remote","Open Search")</f>
        <v/>
      </c>
    </row>
    <row r="11">
      <c r="A11" s="20" t="n">
        <v>7</v>
      </c>
      <c r="B11" s="28" t="inlineStr">
        <is>
          <t>Instahyre</t>
        </is>
      </c>
      <c r="C11" s="28" t="inlineStr">
        <is>
          <t>Python Backend Developer</t>
        </is>
      </c>
      <c r="D11" s="28" t="inlineStr">
        <is>
          <t>Curated, recruiter-reachout (login)</t>
        </is>
      </c>
      <c r="E11" s="24">
        <f>HYPERLINK("https://www.instahyre.com/search-jobs/?q=Python+Backend+Developer","Open Search")</f>
        <v/>
      </c>
    </row>
    <row r="12">
      <c r="A12" s="20" t="n">
        <v>8</v>
      </c>
      <c r="B12" s="28" t="inlineStr">
        <is>
          <t>Cutshort</t>
        </is>
      </c>
      <c r="C12" s="28" t="inlineStr">
        <is>
          <t>Senior Python Backend Developer</t>
        </is>
      </c>
      <c r="D12" s="28" t="inlineStr">
        <is>
          <t>AI-matched startup roles</t>
        </is>
      </c>
      <c r="E12" s="24">
        <f>HYPERLINK("https://cutshort.io/jobs/senior-python-backend-developer-jobs","Open Search")</f>
        <v/>
      </c>
    </row>
    <row r="13">
      <c r="A13" s="20" t="n">
        <v>9</v>
      </c>
      <c r="B13" s="28" t="inlineStr">
        <is>
          <t>Hirist</t>
        </is>
      </c>
      <c r="C13" s="28" t="inlineStr">
        <is>
          <t>Python Backend Developer</t>
        </is>
      </c>
      <c r="D13" s="28" t="inlineStr">
        <is>
          <t>Tech-only India job board</t>
        </is>
      </c>
      <c r="E13" s="24">
        <f>HYPERLINK("https://www.hirist.tech/search/python-backend-developer-jobs","Open Search")</f>
        <v/>
      </c>
    </row>
    <row r="14">
      <c r="A14" s="20" t="n">
        <v>10</v>
      </c>
      <c r="B14" s="28" t="inlineStr">
        <is>
          <t>Wellfound</t>
        </is>
      </c>
      <c r="C14" s="28" t="inlineStr">
        <is>
          <t>Backend Engineer (Python) · startups</t>
        </is>
      </c>
      <c r="D14" s="28" t="inlineStr">
        <is>
          <t>AngelList startup jobs (login)</t>
        </is>
      </c>
      <c r="E14" s="24">
        <f>HYPERLINK("https://wellfound.com/role/r/backend-engineer","Open Search")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7" t="inlineStr">
        <is>
          <t>Total openings tracked</t>
        </is>
      </c>
      <c r="B2" s="7">
        <f>COUNTA('Hiring Companies'!B2:B250)</f>
        <v/>
      </c>
    </row>
    <row r="3">
      <c r="A3" s="7" t="inlineStr">
        <is>
          <t>Unique companies</t>
        </is>
      </c>
      <c r="B3" s="7">
        <f>SUMPRODUCT(1/COUNTIF('Hiring Companies'!B2:B250,'Hiring Companies'!B2:B250))</f>
        <v/>
      </c>
    </row>
    <row r="4">
      <c r="A4" s="7" t="inlineStr">
        <is>
          <t>Tight matches</t>
        </is>
      </c>
      <c r="B4" s="7">
        <f>COUNTIF('Hiring Companies'!H2:H250,"Tight")</f>
        <v/>
      </c>
    </row>
    <row r="5">
      <c r="A5" s="7" t="inlineStr">
        <is>
          <t>Reasonable matches</t>
        </is>
      </c>
      <c r="B5" s="7">
        <f>COUNTIF('Hiring Companies'!H2:H250,"Reasonable")</f>
        <v/>
      </c>
    </row>
    <row r="6">
      <c r="A6" s="7" t="inlineStr">
        <is>
          <t>Loose matches</t>
        </is>
      </c>
      <c r="B6" s="7">
        <f>COUNTIF('Hiring Companies'!H2:H250,"Loose")</f>
        <v/>
      </c>
    </row>
    <row r="7">
      <c r="A7" s="7" t="n"/>
      <c r="B7" s="7" t="n"/>
    </row>
    <row r="8">
      <c r="A8" s="7" t="inlineStr">
        <is>
          <t>Platform</t>
        </is>
      </c>
      <c r="B8" s="7" t="inlineStr">
        <is>
          <t>Count</t>
        </is>
      </c>
    </row>
    <row r="9">
      <c r="A9" s="7" t="inlineStr">
        <is>
          <t>Indeed</t>
        </is>
      </c>
      <c r="B9" s="7">
        <f>COUNTIF('Hiring Companies'!E2:E250,"Indeed")</f>
        <v/>
      </c>
    </row>
    <row r="10">
      <c r="A10" s="7" t="inlineStr">
        <is>
          <t>LinkedIn</t>
        </is>
      </c>
      <c r="B10" s="7">
        <f>COUNTIF('Hiring Companies'!E2:E250,"LinkedIn")</f>
        <v/>
      </c>
    </row>
    <row r="11">
      <c r="A11" s="7" t="inlineStr">
        <is>
          <t>Cutshort</t>
        </is>
      </c>
      <c r="B11" s="7">
        <f>COUNTIF('Hiring Companies'!E2:E250,"Cutshort")</f>
        <v/>
      </c>
    </row>
    <row r="12">
      <c r="A12" s="7" t="inlineStr">
        <is>
          <t>Naukri</t>
        </is>
      </c>
      <c r="B12" s="7">
        <f>COUNTIF('Hiring Companies'!E2:E250,"Naukri")</f>
        <v/>
      </c>
    </row>
    <row r="13">
      <c r="A13" s="7" t="n"/>
      <c r="B13" s="7" t="n"/>
    </row>
    <row r="14">
      <c r="A14" s="7" t="inlineStr">
        <is>
          <t>Location</t>
        </is>
      </c>
      <c r="B14" s="7" t="inlineStr">
        <is>
          <t>Count</t>
        </is>
      </c>
    </row>
    <row r="15">
      <c r="A15" s="7" t="inlineStr">
        <is>
          <t>Bangalore</t>
        </is>
      </c>
      <c r="B15" s="7">
        <f>COUNTIF('Hiring Companies'!D2:D250,"Bangalore")</f>
        <v/>
      </c>
    </row>
    <row r="16">
      <c r="A16" s="7" t="inlineStr">
        <is>
          <t>Hyderabad</t>
        </is>
      </c>
      <c r="B16" s="7">
        <f>COUNTIF('Hiring Companies'!D2:D250,"Hyderabad")</f>
        <v/>
      </c>
    </row>
    <row r="17">
      <c r="A17" s="7" t="inlineStr">
        <is>
          <t>Delhi</t>
        </is>
      </c>
      <c r="B17" s="7">
        <f>COUNTIF('Hiring Companies'!D2:D250,"Delhi")</f>
        <v/>
      </c>
    </row>
    <row r="18">
      <c r="A18" s="7" t="inlineStr">
        <is>
          <t>Chandigarh</t>
        </is>
      </c>
      <c r="B18" s="7">
        <f>COUNTIF('Hiring Companies'!D2:D250,"Chandigarh")</f>
        <v/>
      </c>
    </row>
    <row r="19">
      <c r="A19" s="7" t="inlineStr">
        <is>
          <t>Pune</t>
        </is>
      </c>
      <c r="B19" s="7">
        <f>COUNTIF('Hiring Companies'!D2:D250,"Pune")</f>
        <v/>
      </c>
    </row>
    <row r="20">
      <c r="A20" s="7" t="inlineStr">
        <is>
          <t>Remote</t>
        </is>
      </c>
      <c r="B20" s="7">
        <f>COUNTIF('Hiring Companies'!D2:D250,"Remote")</f>
        <v/>
      </c>
    </row>
    <row r="21">
      <c r="A21" s="7" t="inlineStr">
        <is>
          <t>India</t>
        </is>
      </c>
      <c r="B21" s="7">
        <f>COUNTIF('Hiring Companies'!D2:D250,"India")</f>
        <v/>
      </c>
    </row>
    <row r="22">
      <c r="A22" s="7" t="inlineStr">
        <is>
          <t>Kharar, Punjab</t>
        </is>
      </c>
      <c r="B22" s="7">
        <f>COUNTIF('Hiring Companies'!D2:D250,"Kharar, Punjab")</f>
        <v/>
      </c>
    </row>
    <row r="24">
      <c r="A24" s="29" t="inlineStr">
        <is>
          <t>Experience fit (4-yr profile)</t>
        </is>
      </c>
    </row>
    <row r="25">
      <c r="A25" t="inlineStr">
        <is>
          <t>Ideal (3-6 yr) — your level</t>
        </is>
      </c>
      <c r="B25">
        <f>COUNTIF('Hiring Companies'!K2:K250,"Ideal (3-6 yr)")</f>
        <v/>
      </c>
    </row>
    <row r="26">
      <c r="A26" t="inlineStr">
        <is>
          <t>Stretch (lead / 8+ yr)</t>
        </is>
      </c>
      <c r="B26">
        <f>COUNTIF('Hiring Companies'!K2:K250,"Stretch (lead/8+)")</f>
        <v/>
      </c>
    </row>
    <row r="27">
      <c r="A27" t="inlineStr">
        <is>
          <t>Below (jr / intern)</t>
        </is>
      </c>
      <c r="B27">
        <f>COUNTIF('Hiring Companies'!K2:K250,"Below (jr/intern)")</f>
        <v/>
      </c>
    </row>
    <row r="28">
      <c r="A28" t="inlineStr">
        <is>
          <t>PRIORITY (Tight + Ideal)</t>
        </is>
      </c>
      <c r="B28">
        <f>COUNTIFS('Hiring Companies'!H2:H250,"Tight",'Hiring Companies'!K2:K250,"Ideal (3-6 yr)")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About this list</t>
        </is>
      </c>
    </row>
    <row r="2">
      <c r="A2" s="8" t="inlineStr">
        <is>
          <t>Compiled across Indeed (direct API), LinkedIn search, Cutshort, and Naukri search.</t>
        </is>
      </c>
    </row>
    <row r="3">
      <c r="A3" s="8" t="inlineStr">
        <is>
          <t>Naukri direct fetch was blocked (HTTP 403); LinkedIn aggregator pages used in lieu of authenticated access.</t>
        </is>
      </c>
    </row>
    <row r="4">
      <c r="A4" s="8" t="inlineStr"/>
    </row>
    <row r="5">
      <c r="A5" s="8" t="inlineStr">
        <is>
          <t>Match strength legend</t>
        </is>
      </c>
    </row>
    <row r="6">
      <c r="A6" s="8" t="inlineStr">
        <is>
          <t>Tight = Senior + Python + Backend in title/JD, fits 4 yrs</t>
        </is>
      </c>
    </row>
    <row r="7">
      <c r="A7" s="8" t="inlineStr">
        <is>
          <t>Reasonable = Senior Python-leaning role, may need stack alignment</t>
        </is>
      </c>
    </row>
    <row r="8">
      <c r="A8" s="8" t="inlineStr">
        <is>
          <t>Loose = Adjacent stack (Java/.NET/Golang/QA/Frontend) — pivot only</t>
        </is>
      </c>
    </row>
    <row r="9">
      <c r="A9" s="8" t="inlineStr"/>
    </row>
    <row r="10">
      <c r="A10" s="8" t="inlineStr">
        <is>
          <t>Coverage caveats</t>
        </is>
      </c>
    </row>
    <row r="11">
      <c r="A11" s="8" t="inlineStr">
        <is>
          <t>Indeed: ~28 unique companies returned across 6 geos (paginated sample, not full set)</t>
        </is>
      </c>
    </row>
    <row r="12">
      <c r="A12" s="8" t="inlineStr">
        <is>
          <t>LinkedIn India aggregate: 10,000+ Senior Python; 812 Python Django Backend; 129 Senior Backend Python/Django</t>
        </is>
      </c>
    </row>
    <row r="13">
      <c r="A13" s="8" t="inlineStr">
        <is>
          <t>Cutshort: 7 live 'Senior Python Backend' roles; 50+ across broader Backend/Python listings</t>
        </is>
      </c>
    </row>
    <row r="14">
      <c r="A14" s="8" t="inlineStr">
        <is>
          <t>Naukri Bangalore (Python, all-level): 60,711 listings</t>
        </is>
      </c>
    </row>
    <row r="15">
      <c r="A15" s="8" t="inlineStr"/>
    </row>
    <row r="16">
      <c r="A16" s="8" t="inlineStr">
        <is>
          <t>Next steps suggestions</t>
        </is>
      </c>
    </row>
    <row r="17">
      <c r="A17" s="8" t="inlineStr">
        <is>
          <t>1. Open each Apply link and tag JDs you want to apply to</t>
        </is>
      </c>
    </row>
    <row r="18">
      <c r="A18" s="8" t="inlineStr">
        <is>
          <t>2. For the 'Tight' rows, prepare a customised resume + cover line</t>
        </is>
      </c>
    </row>
    <row r="19">
      <c r="A19" s="8" t="inlineStr">
        <is>
          <t>3. For LinkedIn, log in and filter Experience=3-5 yrs + posted past week</t>
        </is>
      </c>
    </row>
    <row r="21">
      <c r="A21" t="inlineStr">
        <is>
          <t>Refreshed via Indeed job API on 2026-06-18 — added 29 current openings (Remote + Delhi NCR + Bangalore + Hyderabad + Pune). New rows highlighted amber; Mode column added.</t>
        </is>
      </c>
    </row>
    <row r="23">
      <c r="A23" t="inlineStr">
        <is>
          <t>Pan-India refresh on 2026-08-04 — added 29 Senior Python Backend roles across Chennai, Mumbai, Kolkata, Ahmedabad, Jaipur, Indore, Coimbatore &amp; Remote (light-blue rows). Apply links use =HYPERLINK().</t>
        </is>
      </c>
    </row>
    <row r="25">
      <c r="A25" t="inlineStr">
        <is>
          <t>Refresh on 2026-08-13 — added 13 new roles (mostly NCR + Remote), incl. LLM/agentic-AI fits (Fluper, Gnani). Lavender rows. Priority tab regenerated.</t>
        </is>
      </c>
    </row>
    <row r="27">
      <c r="A27" t="inlineStr">
        <is>
          <t>Cleanup on 2026-08-13 — removed 83 postings older than 60 days (likely expired) to "Expired (archived)" tab. 42 live roles remain. Date-based (not click-verified).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40" customWidth="1" min="3" max="3"/>
    <col width="20" customWidth="1" min="4" max="4"/>
    <col width="9" customWidth="1" min="5" max="5"/>
    <col width="12" customWidth="1" min="6" max="6"/>
    <col width="9" customWidth="1" min="7" max="7"/>
    <col width="12" customWidth="1" min="8" max="8"/>
    <col width="30" customWidth="1" min="9" max="9"/>
    <col width="14" customWidth="1" min="10" max="10"/>
    <col width="16" customWidth="1" min="11" max="11"/>
    <col width="11" customWidth="1" min="12" max="12"/>
  </cols>
  <sheetData>
    <row r="1">
      <c r="A1" s="32" t="inlineStr">
        <is>
          <t>S.No</t>
        </is>
      </c>
      <c r="B1" s="32" t="inlineStr">
        <is>
          <t>Company</t>
        </is>
      </c>
      <c r="C1" s="32" t="inlineStr">
        <is>
          <t>Role</t>
        </is>
      </c>
      <c r="D1" s="32" t="inlineStr">
        <is>
          <t>Location</t>
        </is>
      </c>
      <c r="E1" s="32" t="inlineStr">
        <is>
          <t>Platform</t>
        </is>
      </c>
      <c r="F1" s="32" t="inlineStr">
        <is>
          <t>Posted</t>
        </is>
      </c>
      <c r="G1" s="32" t="inlineStr">
        <is>
          <t>Apply</t>
        </is>
      </c>
      <c r="H1" s="32" t="inlineStr">
        <is>
          <t>Match</t>
        </is>
      </c>
      <c r="I1" s="32" t="inlineStr">
        <is>
          <t>Notes</t>
        </is>
      </c>
      <c r="J1" s="32" t="inlineStr">
        <is>
          <t>Mode</t>
        </is>
      </c>
      <c r="K1" s="32" t="inlineStr">
        <is>
          <t>Exp Fit</t>
        </is>
      </c>
      <c r="L1" s="32" t="inlineStr">
        <is>
          <t>Age (days)</t>
        </is>
      </c>
    </row>
    <row r="2">
      <c r="A2" t="n">
        <v>1</v>
      </c>
      <c r="B2" t="inlineStr">
        <is>
          <t>Citi</t>
        </is>
      </c>
      <c r="C2" t="inlineStr">
        <is>
          <t>Python Backend Developer</t>
        </is>
      </c>
      <c r="D2" t="inlineStr">
        <is>
          <t>Pune</t>
        </is>
      </c>
      <c r="E2" t="inlineStr">
        <is>
          <t>Indeed</t>
        </is>
      </c>
      <c r="F2" t="inlineStr">
        <is>
          <t>2026-03-30</t>
        </is>
      </c>
      <c r="G2" s="33">
        <f>HYPERLINK("https://to.indeed.com/aawb6kf28mhg","Apply")</f>
        <v/>
      </c>
      <c r="H2" t="inlineStr">
        <is>
          <t>Tight</t>
        </is>
      </c>
      <c r="I2" t="inlineStr">
        <is>
          <t>MNC bank — strong Python backend role</t>
        </is>
      </c>
      <c r="J2" t="inlineStr">
        <is>
          <t>Onsite/Hybrid</t>
        </is>
      </c>
      <c r="K2" t="inlineStr">
        <is>
          <t>Ideal (3-6 yr)</t>
        </is>
      </c>
      <c r="L2" t="n">
        <v>136</v>
      </c>
    </row>
    <row r="3">
      <c r="A3" t="n">
        <v>2</v>
      </c>
      <c r="B3" t="inlineStr">
        <is>
          <t>Sketchwire</t>
        </is>
      </c>
      <c r="C3" t="inlineStr">
        <is>
          <t>Senior Backend Developer - Python</t>
        </is>
      </c>
      <c r="D3" t="inlineStr">
        <is>
          <t>Kharar, Punjab</t>
        </is>
      </c>
      <c r="E3" t="inlineStr">
        <is>
          <t>Indeed</t>
        </is>
      </c>
      <c r="F3" t="inlineStr">
        <is>
          <t>2026-06-01</t>
        </is>
      </c>
      <c r="G3" s="33">
        <f>HYPERLINK("https://to.indeed.com/aanj2827cdqv","Apply")</f>
        <v/>
      </c>
      <c r="H3" t="inlineStr">
        <is>
          <t>Tight</t>
        </is>
      </c>
      <c r="I3" t="inlineStr">
        <is>
          <t>Exact title match</t>
        </is>
      </c>
      <c r="J3" t="inlineStr">
        <is>
          <t>Onsite/Hybrid</t>
        </is>
      </c>
      <c r="K3" t="inlineStr">
        <is>
          <t>Ideal (3-6 yr)</t>
        </is>
      </c>
      <c r="L3" t="n">
        <v>73</v>
      </c>
    </row>
    <row r="4">
      <c r="A4" t="n">
        <v>3</v>
      </c>
      <c r="B4" t="inlineStr">
        <is>
          <t>Halliburton</t>
        </is>
      </c>
      <c r="C4" t="inlineStr">
        <is>
          <t>Backend Developer (K3S/K8S/Docker)</t>
        </is>
      </c>
      <c r="D4" t="inlineStr">
        <is>
          <t>Bangalore</t>
        </is>
      </c>
      <c r="E4" t="inlineStr">
        <is>
          <t>Indeed</t>
        </is>
      </c>
      <c r="F4" t="inlineStr">
        <is>
          <t>2026-06-09</t>
        </is>
      </c>
      <c r="G4" s="33">
        <f>HYPERLINK("https://to.indeed.com/aaqt7ypn7blw","Apply")</f>
        <v/>
      </c>
      <c r="H4" t="inlineStr">
        <is>
          <t>Tight</t>
        </is>
      </c>
      <c r="I4" t="inlineStr">
        <is>
          <t>Energy MNC — backend + K8s</t>
        </is>
      </c>
      <c r="J4" t="inlineStr">
        <is>
          <t>Onsite/Hybrid</t>
        </is>
      </c>
      <c r="K4" t="inlineStr">
        <is>
          <t>Ideal (3-6 yr)</t>
        </is>
      </c>
      <c r="L4" t="n">
        <v>65</v>
      </c>
    </row>
    <row r="5">
      <c r="A5" t="n">
        <v>4</v>
      </c>
      <c r="B5" t="inlineStr">
        <is>
          <t>nference</t>
        </is>
      </c>
      <c r="C5" t="inlineStr">
        <is>
          <t>Senior Software Engineer - Backend</t>
        </is>
      </c>
      <c r="D5" t="inlineStr">
        <is>
          <t>Bangalore</t>
        </is>
      </c>
      <c r="E5" t="inlineStr">
        <is>
          <t>Indeed</t>
        </is>
      </c>
      <c r="F5" t="inlineStr">
        <is>
          <t>2026-05-05</t>
        </is>
      </c>
      <c r="G5" s="33">
        <f>HYPERLINK("https://to.indeed.com/aahslp4q7jg9","Apply")</f>
        <v/>
      </c>
      <c r="H5" t="inlineStr">
        <is>
          <t>Tight</t>
        </is>
      </c>
      <c r="I5" t="inlineStr">
        <is>
          <t>AI/biotech product company</t>
        </is>
      </c>
      <c r="J5" t="inlineStr">
        <is>
          <t>Onsite/Hybrid</t>
        </is>
      </c>
      <c r="K5" t="inlineStr">
        <is>
          <t>Ideal (3-6 yr)</t>
        </is>
      </c>
      <c r="L5" t="n">
        <v>100</v>
      </c>
    </row>
    <row r="6">
      <c r="A6" t="n">
        <v>5</v>
      </c>
      <c r="B6" t="inlineStr">
        <is>
          <t>Sapiens</t>
        </is>
      </c>
      <c r="C6" t="inlineStr">
        <is>
          <t>Lead Developer - R&amp;D</t>
        </is>
      </c>
      <c r="D6" t="inlineStr">
        <is>
          <t>Bangalore</t>
        </is>
      </c>
      <c r="E6" t="inlineStr">
        <is>
          <t>Indeed</t>
        </is>
      </c>
      <c r="F6" t="inlineStr">
        <is>
          <t>2026-06-08</t>
        </is>
      </c>
      <c r="G6" s="33">
        <f>HYPERLINK("https://to.indeed.com/aahgp9fy2gc4","Apply")</f>
        <v/>
      </c>
      <c r="H6" t="inlineStr">
        <is>
          <t>Reasonable</t>
        </is>
      </c>
      <c r="I6" t="inlineStr">
        <is>
          <t>Insurance-tech product</t>
        </is>
      </c>
      <c r="J6" t="inlineStr">
        <is>
          <t>Onsite/Hybrid</t>
        </is>
      </c>
      <c r="K6" t="inlineStr">
        <is>
          <t>Stretch (lead/8+)</t>
        </is>
      </c>
      <c r="L6" t="n">
        <v>66</v>
      </c>
    </row>
    <row r="7">
      <c r="A7" t="n">
        <v>6</v>
      </c>
      <c r="B7" t="inlineStr">
        <is>
          <t>Accenture</t>
        </is>
      </c>
      <c r="C7" t="inlineStr">
        <is>
          <t>Custom Software Engineer</t>
        </is>
      </c>
      <c r="D7" t="inlineStr">
        <is>
          <t>Bangalore</t>
        </is>
      </c>
      <c r="E7" t="inlineStr">
        <is>
          <t>Indeed</t>
        </is>
      </c>
      <c r="F7" t="inlineStr">
        <is>
          <t>2026-03-04</t>
        </is>
      </c>
      <c r="G7" s="33">
        <f>HYPERLINK("https://to.indeed.com/aax2h8rt7s7p","Apply")</f>
        <v/>
      </c>
      <c r="H7" t="inlineStr">
        <is>
          <t>Reasonable</t>
        </is>
      </c>
      <c r="I7" t="inlineStr">
        <is>
          <t>Consulting — broad Python work</t>
        </is>
      </c>
      <c r="J7" t="inlineStr">
        <is>
          <t>Onsite/Hybrid</t>
        </is>
      </c>
      <c r="K7" t="inlineStr">
        <is>
          <t>Ideal (3-6 yr)</t>
        </is>
      </c>
      <c r="L7" t="n">
        <v>162</v>
      </c>
    </row>
    <row r="8">
      <c r="A8" t="n">
        <v>7</v>
      </c>
      <c r="B8" t="inlineStr">
        <is>
          <t>The Wedding Company</t>
        </is>
      </c>
      <c r="C8" t="inlineStr">
        <is>
          <t>Senior Software Engineer</t>
        </is>
      </c>
      <c r="D8" t="inlineStr">
        <is>
          <t>Bangalore</t>
        </is>
      </c>
      <c r="E8" t="inlineStr">
        <is>
          <t>Indeed</t>
        </is>
      </c>
      <c r="F8" t="inlineStr">
        <is>
          <t>2026-02-28</t>
        </is>
      </c>
      <c r="G8" s="33">
        <f>HYPERLINK("https://to.indeed.com/aal2hy2z8x4w","Apply")</f>
        <v/>
      </c>
      <c r="H8" t="inlineStr">
        <is>
          <t>Reasonable</t>
        </is>
      </c>
      <c r="J8" t="inlineStr">
        <is>
          <t>Onsite/Hybrid</t>
        </is>
      </c>
      <c r="K8" t="inlineStr">
        <is>
          <t>Ideal (3-6 yr)</t>
        </is>
      </c>
      <c r="L8" t="n">
        <v>166</v>
      </c>
    </row>
    <row r="9">
      <c r="A9" t="n">
        <v>8</v>
      </c>
      <c r="B9" t="inlineStr">
        <is>
          <t>SCSK Asia Pacific</t>
        </is>
      </c>
      <c r="C9" t="inlineStr">
        <is>
          <t>Senior Full Stack Developer</t>
        </is>
      </c>
      <c r="D9" t="inlineStr">
        <is>
          <t>Bangalore</t>
        </is>
      </c>
      <c r="E9" t="inlineStr">
        <is>
          <t>Indeed</t>
        </is>
      </c>
      <c r="F9" t="inlineStr">
        <is>
          <t>2026-06-04</t>
        </is>
      </c>
      <c r="G9" s="33">
        <f>HYPERLINK("https://to.indeed.com/aagss84qbnpf","Apply")</f>
        <v/>
      </c>
      <c r="H9" t="inlineStr">
        <is>
          <t>Reasonable</t>
        </is>
      </c>
      <c r="I9" t="inlineStr">
        <is>
          <t>Python full-stack</t>
        </is>
      </c>
      <c r="J9" t="inlineStr">
        <is>
          <t>Onsite/Hybrid</t>
        </is>
      </c>
      <c r="K9" t="inlineStr">
        <is>
          <t>Ideal (3-6 yr)</t>
        </is>
      </c>
      <c r="L9" t="n">
        <v>70</v>
      </c>
    </row>
    <row r="10">
      <c r="A10" t="n">
        <v>9</v>
      </c>
      <c r="B10" t="inlineStr">
        <is>
          <t>SCSK Asia Pacific</t>
        </is>
      </c>
      <c r="C10" t="inlineStr">
        <is>
          <t>Full Stack Developer</t>
        </is>
      </c>
      <c r="D10" t="inlineStr">
        <is>
          <t>Bangalore</t>
        </is>
      </c>
      <c r="E10" t="inlineStr">
        <is>
          <t>Indeed</t>
        </is>
      </c>
      <c r="F10" t="inlineStr">
        <is>
          <t>2026-06-04</t>
        </is>
      </c>
      <c r="G10" s="33">
        <f>HYPERLINK("https://to.indeed.com/aadwntlgkfht","Apply")</f>
        <v/>
      </c>
      <c r="H10" t="inlineStr">
        <is>
          <t>Reasonable</t>
        </is>
      </c>
      <c r="J10" t="inlineStr">
        <is>
          <t>Onsite/Hybrid</t>
        </is>
      </c>
      <c r="K10" t="inlineStr">
        <is>
          <t>Ideal (3-6 yr)</t>
        </is>
      </c>
      <c r="L10" t="n">
        <v>70</v>
      </c>
    </row>
    <row r="11">
      <c r="A11" t="n">
        <v>10</v>
      </c>
      <c r="B11" t="inlineStr">
        <is>
          <t>Miror Therapeutics</t>
        </is>
      </c>
      <c r="C11" t="inlineStr">
        <is>
          <t>Senior Full Stack Developer</t>
        </is>
      </c>
      <c r="D11" t="inlineStr">
        <is>
          <t>Bangalore</t>
        </is>
      </c>
      <c r="E11" t="inlineStr">
        <is>
          <t>Indeed</t>
        </is>
      </c>
      <c r="F11" t="inlineStr">
        <is>
          <t>2026-06-04</t>
        </is>
      </c>
      <c r="G11" s="33">
        <f>HYPERLINK("https://to.indeed.com/aayfnxvwnxlh","Apply")</f>
        <v/>
      </c>
      <c r="H11" t="inlineStr">
        <is>
          <t>Reasonable</t>
        </is>
      </c>
      <c r="I11" t="inlineStr">
        <is>
          <t>HealthTech</t>
        </is>
      </c>
      <c r="J11" t="inlineStr">
        <is>
          <t>Onsite/Hybrid</t>
        </is>
      </c>
      <c r="K11" t="inlineStr">
        <is>
          <t>Ideal (3-6 yr)</t>
        </is>
      </c>
      <c r="L11" t="n">
        <v>70</v>
      </c>
    </row>
    <row r="12">
      <c r="A12" t="n">
        <v>11</v>
      </c>
      <c r="B12" t="inlineStr">
        <is>
          <t>ANSR Source</t>
        </is>
      </c>
      <c r="C12" t="inlineStr">
        <is>
          <t>Senior Full Stack Developer MERN</t>
        </is>
      </c>
      <c r="D12" t="inlineStr">
        <is>
          <t>Bangalore</t>
        </is>
      </c>
      <c r="E12" t="inlineStr">
        <is>
          <t>Indeed</t>
        </is>
      </c>
      <c r="F12" t="inlineStr">
        <is>
          <t>2026-05-18</t>
        </is>
      </c>
      <c r="G12" s="33">
        <f>HYPERLINK("https://to.indeed.com/aar4tnc96n8l","Apply")</f>
        <v/>
      </c>
      <c r="H12" t="inlineStr">
        <is>
          <t>Loose</t>
        </is>
      </c>
      <c r="I12" t="inlineStr">
        <is>
          <t>MERN — adjacent</t>
        </is>
      </c>
      <c r="J12" t="inlineStr">
        <is>
          <t>Onsite/Hybrid</t>
        </is>
      </c>
      <c r="K12" t="inlineStr">
        <is>
          <t>Ideal (3-6 yr)</t>
        </is>
      </c>
      <c r="L12" t="n">
        <v>87</v>
      </c>
    </row>
    <row r="13">
      <c r="A13" t="n">
        <v>12</v>
      </c>
      <c r="B13" t="inlineStr">
        <is>
          <t>KJBN Labs</t>
        </is>
      </c>
      <c r="C13" t="inlineStr">
        <is>
          <t>Software Engineer - Golang</t>
        </is>
      </c>
      <c r="D13" t="inlineStr">
        <is>
          <t>Bangalore</t>
        </is>
      </c>
      <c r="E13" t="inlineStr">
        <is>
          <t>Indeed</t>
        </is>
      </c>
      <c r="F13" t="inlineStr">
        <is>
          <t>2026-03-03</t>
        </is>
      </c>
      <c r="G13" s="33">
        <f>HYPERLINK("https://to.indeed.com/aashtd4lywrx","Apply")</f>
        <v/>
      </c>
      <c r="H13" t="inlineStr">
        <is>
          <t>Loose</t>
        </is>
      </c>
      <c r="I13" t="inlineStr">
        <is>
          <t>Golang — adjacent</t>
        </is>
      </c>
      <c r="J13" t="inlineStr">
        <is>
          <t>Onsite/Hybrid</t>
        </is>
      </c>
      <c r="K13" t="inlineStr">
        <is>
          <t>Ideal (3-6 yr)</t>
        </is>
      </c>
      <c r="L13" t="n">
        <v>163</v>
      </c>
    </row>
    <row r="14">
      <c r="A14" t="n">
        <v>13</v>
      </c>
      <c r="B14" t="inlineStr">
        <is>
          <t>DDiSmart</t>
        </is>
      </c>
      <c r="C14" t="inlineStr">
        <is>
          <t>Sr. Python Developer</t>
        </is>
      </c>
      <c r="D14" t="inlineStr">
        <is>
          <t>Hyderabad</t>
        </is>
      </c>
      <c r="E14" t="inlineStr">
        <is>
          <t>Indeed</t>
        </is>
      </c>
      <c r="F14" t="inlineStr">
        <is>
          <t>2026-05-20</t>
        </is>
      </c>
      <c r="G14" s="33">
        <f>HYPERLINK("https://to.indeed.com/aa6thgmyzqtv","Apply")</f>
        <v/>
      </c>
      <c r="H14" t="inlineStr">
        <is>
          <t>Tight</t>
        </is>
      </c>
      <c r="I14" t="inlineStr">
        <is>
          <t>Direct title match</t>
        </is>
      </c>
      <c r="J14" t="inlineStr">
        <is>
          <t>Onsite/Hybrid</t>
        </is>
      </c>
      <c r="K14" t="inlineStr">
        <is>
          <t>Ideal (3-6 yr)</t>
        </is>
      </c>
      <c r="L14" t="n">
        <v>85</v>
      </c>
    </row>
    <row r="15">
      <c r="A15" t="n">
        <v>14</v>
      </c>
      <c r="B15" t="inlineStr">
        <is>
          <t>In2IT Enterprise</t>
        </is>
      </c>
      <c r="C15" t="inlineStr">
        <is>
          <t>Python Developer</t>
        </is>
      </c>
      <c r="D15" t="inlineStr">
        <is>
          <t>Hyderabad</t>
        </is>
      </c>
      <c r="E15" t="inlineStr">
        <is>
          <t>Indeed</t>
        </is>
      </c>
      <c r="F15" t="inlineStr">
        <is>
          <t>2025-12-31</t>
        </is>
      </c>
      <c r="G15" s="33">
        <f>HYPERLINK("https://to.indeed.com/aad7h4crbjcg","Apply")</f>
        <v/>
      </c>
      <c r="H15" t="inlineStr">
        <is>
          <t>Tight</t>
        </is>
      </c>
      <c r="J15" t="inlineStr">
        <is>
          <t>Onsite/Hybrid</t>
        </is>
      </c>
      <c r="K15" t="inlineStr">
        <is>
          <t>Ideal (3-6 yr)</t>
        </is>
      </c>
      <c r="L15" t="n">
        <v>225</v>
      </c>
    </row>
    <row r="16">
      <c r="A16" t="n">
        <v>15</v>
      </c>
      <c r="B16" t="inlineStr">
        <is>
          <t>Broadcom</t>
        </is>
      </c>
      <c r="C16" t="inlineStr">
        <is>
          <t>Senior Software Architect</t>
        </is>
      </c>
      <c r="D16" t="inlineStr">
        <is>
          <t>Hyderabad</t>
        </is>
      </c>
      <c r="E16" t="inlineStr">
        <is>
          <t>Indeed</t>
        </is>
      </c>
      <c r="F16" t="inlineStr">
        <is>
          <t>2026-04-15</t>
        </is>
      </c>
      <c r="G16" s="33">
        <f>HYPERLINK("https://to.indeed.com/aa9ys67dr4px","Apply")</f>
        <v/>
      </c>
      <c r="H16" t="inlineStr">
        <is>
          <t>Reasonable</t>
        </is>
      </c>
      <c r="I16" t="inlineStr">
        <is>
          <t>Senior architect</t>
        </is>
      </c>
      <c r="J16" t="inlineStr">
        <is>
          <t>Onsite/Hybrid</t>
        </is>
      </c>
      <c r="K16" t="inlineStr">
        <is>
          <t>Stretch (lead/8+)</t>
        </is>
      </c>
      <c r="L16" t="n">
        <v>120</v>
      </c>
    </row>
    <row r="17">
      <c r="A17" t="n">
        <v>16</v>
      </c>
      <c r="B17" t="inlineStr">
        <is>
          <t>Teradata</t>
        </is>
      </c>
      <c r="C17" t="inlineStr">
        <is>
          <t>Senior Software Engineer</t>
        </is>
      </c>
      <c r="D17" t="inlineStr">
        <is>
          <t>Hyderabad</t>
        </is>
      </c>
      <c r="E17" t="inlineStr">
        <is>
          <t>Indeed</t>
        </is>
      </c>
      <c r="F17" t="inlineStr">
        <is>
          <t>2026-05-07</t>
        </is>
      </c>
      <c r="G17" s="33">
        <f>HYPERLINK("https://to.indeed.com/aaj4gmnb68yk","Apply")</f>
        <v/>
      </c>
      <c r="H17" t="inlineStr">
        <is>
          <t>Reasonable</t>
        </is>
      </c>
      <c r="I17" t="inlineStr">
        <is>
          <t>Data product</t>
        </is>
      </c>
      <c r="J17" t="inlineStr">
        <is>
          <t>Onsite/Hybrid</t>
        </is>
      </c>
      <c r="K17" t="inlineStr">
        <is>
          <t>Ideal (3-6 yr)</t>
        </is>
      </c>
      <c r="L17" t="n">
        <v>98</v>
      </c>
    </row>
    <row r="18">
      <c r="A18" t="n">
        <v>17</v>
      </c>
      <c r="B18" t="inlineStr">
        <is>
          <t>Dataflix</t>
        </is>
      </c>
      <c r="C18" t="inlineStr">
        <is>
          <t>Senior AI Developer</t>
        </is>
      </c>
      <c r="D18" t="inlineStr">
        <is>
          <t>Hyderabad</t>
        </is>
      </c>
      <c r="E18" t="inlineStr">
        <is>
          <t>Indeed</t>
        </is>
      </c>
      <c r="F18" t="inlineStr">
        <is>
          <t>2026-03-03</t>
        </is>
      </c>
      <c r="G18" s="33">
        <f>HYPERLINK("https://to.indeed.com/aajpwpgl7nzc","Apply")</f>
        <v/>
      </c>
      <c r="H18" t="inlineStr">
        <is>
          <t>Reasonable</t>
        </is>
      </c>
      <c r="I18" t="inlineStr">
        <is>
          <t>AI-leaning</t>
        </is>
      </c>
      <c r="J18" t="inlineStr">
        <is>
          <t>Onsite/Hybrid</t>
        </is>
      </c>
      <c r="K18" t="inlineStr">
        <is>
          <t>Ideal (3-6 yr)</t>
        </is>
      </c>
      <c r="L18" t="n">
        <v>163</v>
      </c>
    </row>
    <row r="19">
      <c r="A19" t="n">
        <v>18</v>
      </c>
      <c r="B19" t="inlineStr">
        <is>
          <t>Novartis</t>
        </is>
      </c>
      <c r="C19" t="inlineStr">
        <is>
          <t>Senior Analyst - Agentforce</t>
        </is>
      </c>
      <c r="D19" t="inlineStr">
        <is>
          <t>Hyderabad</t>
        </is>
      </c>
      <c r="E19" t="inlineStr">
        <is>
          <t>Indeed</t>
        </is>
      </c>
      <c r="F19" t="inlineStr">
        <is>
          <t>2026-05-22</t>
        </is>
      </c>
      <c r="G19" s="33">
        <f>HYPERLINK("https://to.indeed.com/aagxxdnrrl7j","Apply")</f>
        <v/>
      </c>
      <c r="H19" t="inlineStr">
        <is>
          <t>Loose</t>
        </is>
      </c>
      <c r="I19" t="inlineStr">
        <is>
          <t>Salesforce Agentforce</t>
        </is>
      </c>
      <c r="J19" t="inlineStr">
        <is>
          <t>Onsite/Hybrid</t>
        </is>
      </c>
      <c r="K19" t="inlineStr">
        <is>
          <t>Ideal (3-6 yr)</t>
        </is>
      </c>
      <c r="L19" t="n">
        <v>83</v>
      </c>
    </row>
    <row r="20">
      <c r="A20" t="n">
        <v>19</v>
      </c>
      <c r="B20" t="inlineStr">
        <is>
          <t>Invesco</t>
        </is>
      </c>
      <c r="C20" t="inlineStr">
        <is>
          <t>Adv Engineer QE II</t>
        </is>
      </c>
      <c r="D20" t="inlineStr">
        <is>
          <t>Hyderabad</t>
        </is>
      </c>
      <c r="E20" t="inlineStr">
        <is>
          <t>Indeed</t>
        </is>
      </c>
      <c r="F20" t="inlineStr">
        <is>
          <t>2026-06-09</t>
        </is>
      </c>
      <c r="G20" s="33">
        <f>HYPERLINK("https://to.indeed.com/aaxv8jm78kl9","Apply")</f>
        <v/>
      </c>
      <c r="H20" t="inlineStr">
        <is>
          <t>Loose</t>
        </is>
      </c>
      <c r="I20" t="inlineStr">
        <is>
          <t>QA/QE</t>
        </is>
      </c>
      <c r="J20" t="inlineStr">
        <is>
          <t>Onsite/Hybrid</t>
        </is>
      </c>
      <c r="K20" t="inlineStr">
        <is>
          <t>Ideal (3-6 yr)</t>
        </is>
      </c>
      <c r="L20" t="n">
        <v>65</v>
      </c>
    </row>
    <row r="21">
      <c r="A21" t="n">
        <v>20</v>
      </c>
      <c r="B21" t="inlineStr">
        <is>
          <t>CGI</t>
        </is>
      </c>
      <c r="C21" t="inlineStr">
        <is>
          <t>Java Backend Developer</t>
        </is>
      </c>
      <c r="D21" t="inlineStr">
        <is>
          <t>Hyderabad</t>
        </is>
      </c>
      <c r="E21" t="inlineStr">
        <is>
          <t>Indeed</t>
        </is>
      </c>
      <c r="F21" t="inlineStr">
        <is>
          <t>2026-06-04</t>
        </is>
      </c>
      <c r="G21" s="33">
        <f>HYPERLINK("https://to.indeed.com/aahj84bmf7lw","Apply")</f>
        <v/>
      </c>
      <c r="H21" t="inlineStr">
        <is>
          <t>Loose</t>
        </is>
      </c>
      <c r="I21" t="inlineStr">
        <is>
          <t>Java — not Python</t>
        </is>
      </c>
      <c r="J21" t="inlineStr">
        <is>
          <t>Onsite/Hybrid</t>
        </is>
      </c>
      <c r="K21" t="inlineStr">
        <is>
          <t>Ideal (3-6 yr)</t>
        </is>
      </c>
      <c r="L21" t="n">
        <v>70</v>
      </c>
    </row>
    <row r="22">
      <c r="A22" t="n">
        <v>21</v>
      </c>
      <c r="B22" t="inlineStr">
        <is>
          <t>AppsTek Corp</t>
        </is>
      </c>
      <c r="C22" t="inlineStr">
        <is>
          <t>Senior QA Automation Test Lead</t>
        </is>
      </c>
      <c r="D22" t="inlineStr">
        <is>
          <t>Hyderabad</t>
        </is>
      </c>
      <c r="E22" t="inlineStr">
        <is>
          <t>Indeed</t>
        </is>
      </c>
      <c r="F22" t="inlineStr">
        <is>
          <t>2026-02-28</t>
        </is>
      </c>
      <c r="G22" s="33">
        <f>HYPERLINK("https://to.indeed.com/aalxqhzhyzl4","Apply")</f>
        <v/>
      </c>
      <c r="H22" t="inlineStr">
        <is>
          <t>Loose</t>
        </is>
      </c>
      <c r="I22" t="inlineStr">
        <is>
          <t>QA automation</t>
        </is>
      </c>
      <c r="J22" t="inlineStr">
        <is>
          <t>Onsite/Hybrid</t>
        </is>
      </c>
      <c r="K22" t="inlineStr">
        <is>
          <t>Stretch (lead/8+)</t>
        </is>
      </c>
      <c r="L22" t="n">
        <v>166</v>
      </c>
    </row>
    <row r="23">
      <c r="A23" t="n">
        <v>22</v>
      </c>
      <c r="B23" t="inlineStr">
        <is>
          <t>Plane Software</t>
        </is>
      </c>
      <c r="C23" t="inlineStr">
        <is>
          <t>Junior Frontend Engineer</t>
        </is>
      </c>
      <c r="D23" t="inlineStr">
        <is>
          <t>Hyderabad</t>
        </is>
      </c>
      <c r="E23" t="inlineStr">
        <is>
          <t>Indeed</t>
        </is>
      </c>
      <c r="F23" t="inlineStr">
        <is>
          <t>2026-04-22</t>
        </is>
      </c>
      <c r="G23" s="33">
        <f>HYPERLINK("https://to.indeed.com/aa4dqfkxt69s","Apply")</f>
        <v/>
      </c>
      <c r="H23" t="inlineStr">
        <is>
          <t>Loose</t>
        </is>
      </c>
      <c r="I23" t="inlineStr">
        <is>
          <t>Frontend</t>
        </is>
      </c>
      <c r="J23" t="inlineStr">
        <is>
          <t>Onsite/Hybrid</t>
        </is>
      </c>
      <c r="K23" t="inlineStr">
        <is>
          <t>Below (jr/intern)</t>
        </is>
      </c>
      <c r="L23" t="n">
        <v>113</v>
      </c>
    </row>
    <row r="24">
      <c r="A24" t="n">
        <v>23</v>
      </c>
      <c r="B24" t="inlineStr">
        <is>
          <t>Trinity Business Solutions</t>
        </is>
      </c>
      <c r="C24" t="inlineStr">
        <is>
          <t>Senior AI/ML Developer</t>
        </is>
      </c>
      <c r="D24" t="inlineStr">
        <is>
          <t>Delhi</t>
        </is>
      </c>
      <c r="E24" t="inlineStr">
        <is>
          <t>Indeed</t>
        </is>
      </c>
      <c r="F24" t="inlineStr">
        <is>
          <t>2026-03-29</t>
        </is>
      </c>
      <c r="G24" s="33">
        <f>HYPERLINK("https://to.indeed.com/aa7pnzfvzddk","Apply")</f>
        <v/>
      </c>
      <c r="H24" t="inlineStr">
        <is>
          <t>Reasonable</t>
        </is>
      </c>
      <c r="I24" t="inlineStr">
        <is>
          <t>AI/ML</t>
        </is>
      </c>
      <c r="J24" t="inlineStr">
        <is>
          <t>Onsite/Hybrid</t>
        </is>
      </c>
      <c r="K24" t="inlineStr">
        <is>
          <t>Ideal (3-6 yr)</t>
        </is>
      </c>
      <c r="L24" t="n">
        <v>137</v>
      </c>
    </row>
    <row r="25">
      <c r="A25" t="n">
        <v>24</v>
      </c>
      <c r="B25" t="inlineStr">
        <is>
          <t>Krishna Hiring Services</t>
        </is>
      </c>
      <c r="C25" t="inlineStr">
        <is>
          <t>Technical Team Lead (Python)</t>
        </is>
      </c>
      <c r="D25" t="inlineStr">
        <is>
          <t>Chandigarh</t>
        </is>
      </c>
      <c r="E25" t="inlineStr">
        <is>
          <t>Indeed</t>
        </is>
      </c>
      <c r="F25" t="inlineStr">
        <is>
          <t>2025-12-19</t>
        </is>
      </c>
      <c r="G25" s="33">
        <f>HYPERLINK("https://to.indeed.com/aarzjptwjcdg","Apply")</f>
        <v/>
      </c>
      <c r="H25" t="inlineStr">
        <is>
          <t>Tight</t>
        </is>
      </c>
      <c r="I25" t="inlineStr">
        <is>
          <t>Python backend team lead</t>
        </is>
      </c>
      <c r="J25" t="inlineStr">
        <is>
          <t>Onsite/Hybrid</t>
        </is>
      </c>
      <c r="K25" t="inlineStr">
        <is>
          <t>Stretch (lead/8+)</t>
        </is>
      </c>
      <c r="L25" t="n">
        <v>237</v>
      </c>
    </row>
    <row r="26">
      <c r="A26" t="n">
        <v>25</v>
      </c>
      <c r="B26" t="inlineStr">
        <is>
          <t>Allengers Infotech</t>
        </is>
      </c>
      <c r="C26" t="inlineStr">
        <is>
          <t>Sr ASP.Net Developer / Team Lead</t>
        </is>
      </c>
      <c r="D26" t="inlineStr">
        <is>
          <t>Chandigarh</t>
        </is>
      </c>
      <c r="E26" t="inlineStr">
        <is>
          <t>Indeed</t>
        </is>
      </c>
      <c r="F26" t="inlineStr">
        <is>
          <t>2026-02-26</t>
        </is>
      </c>
      <c r="G26" s="33">
        <f>HYPERLINK("https://to.indeed.com/aa777m9k9vsh","Apply")</f>
        <v/>
      </c>
      <c r="H26" t="inlineStr">
        <is>
          <t>Loose</t>
        </is>
      </c>
      <c r="I26" t="inlineStr">
        <is>
          <t>.NET — not Python</t>
        </is>
      </c>
      <c r="J26" t="inlineStr">
        <is>
          <t>Onsite/Hybrid</t>
        </is>
      </c>
      <c r="K26" t="inlineStr">
        <is>
          <t>Stretch (lead/8+)</t>
        </is>
      </c>
      <c r="L26" t="n">
        <v>168</v>
      </c>
    </row>
    <row r="27">
      <c r="A27" t="n">
        <v>26</v>
      </c>
      <c r="B27" t="inlineStr">
        <is>
          <t>Hashone Careers</t>
        </is>
      </c>
      <c r="C27" t="inlineStr">
        <is>
          <t>Backend AI Developer (Rust, Python)</t>
        </is>
      </c>
      <c r="D27" t="inlineStr">
        <is>
          <t>Remote</t>
        </is>
      </c>
      <c r="E27" t="inlineStr">
        <is>
          <t>Indeed</t>
        </is>
      </c>
      <c r="F27" t="inlineStr">
        <is>
          <t>2026-06-11</t>
        </is>
      </c>
      <c r="G27" s="33">
        <f>HYPERLINK("https://to.indeed.com/aanlxgttm7fr","Apply")</f>
        <v/>
      </c>
      <c r="H27" t="inlineStr">
        <is>
          <t>Tight</t>
        </is>
      </c>
      <c r="I27" t="inlineStr">
        <is>
          <t>Backend + Python + AI</t>
        </is>
      </c>
      <c r="J27" t="inlineStr">
        <is>
          <t>Remote</t>
        </is>
      </c>
      <c r="K27" t="inlineStr">
        <is>
          <t>Ideal (3-6 yr)</t>
        </is>
      </c>
      <c r="L27" t="n">
        <v>63</v>
      </c>
    </row>
    <row r="28">
      <c r="A28" t="n">
        <v>27</v>
      </c>
      <c r="B28" t="inlineStr">
        <is>
          <t>Telesource Solutions</t>
        </is>
      </c>
      <c r="C28" t="inlineStr">
        <is>
          <t>Lead Backend Engineer</t>
        </is>
      </c>
      <c r="D28" t="inlineStr">
        <is>
          <t>Remote</t>
        </is>
      </c>
      <c r="E28" t="inlineStr">
        <is>
          <t>Indeed</t>
        </is>
      </c>
      <c r="F28" t="inlineStr">
        <is>
          <t>2026-04-27</t>
        </is>
      </c>
      <c r="G28" s="33">
        <f>HYPERLINK("https://to.indeed.com/aaq4ym9mvlc8","Apply")</f>
        <v/>
      </c>
      <c r="H28" t="inlineStr">
        <is>
          <t>Tight</t>
        </is>
      </c>
      <c r="J28" t="inlineStr">
        <is>
          <t>Remote</t>
        </is>
      </c>
      <c r="K28" t="inlineStr">
        <is>
          <t>Stretch (lead/8+)</t>
        </is>
      </c>
      <c r="L28" t="n">
        <v>108</v>
      </c>
    </row>
    <row r="29">
      <c r="A29" t="n">
        <v>28</v>
      </c>
      <c r="B29" t="inlineStr">
        <is>
          <t>Garuda Spacex Technologies</t>
        </is>
      </c>
      <c r="C29" t="inlineStr">
        <is>
          <t>Senior Python Engineer / Backend Analytics</t>
        </is>
      </c>
      <c r="D29" t="inlineStr">
        <is>
          <t>Remote</t>
        </is>
      </c>
      <c r="E29" t="inlineStr">
        <is>
          <t>Indeed</t>
        </is>
      </c>
      <c r="F29" t="inlineStr">
        <is>
          <t>2026-06-03</t>
        </is>
      </c>
      <c r="G29" s="33">
        <f>HYPERLINK("https://to.indeed.com/aatnn9slnm9v","Apply")</f>
        <v/>
      </c>
      <c r="H29" t="inlineStr">
        <is>
          <t>Tight</t>
        </is>
      </c>
      <c r="I29" t="inlineStr">
        <is>
          <t>Python + analytics + AI</t>
        </is>
      </c>
      <c r="J29" t="inlineStr">
        <is>
          <t>Remote</t>
        </is>
      </c>
      <c r="K29" t="inlineStr">
        <is>
          <t>Ideal (3-6 yr)</t>
        </is>
      </c>
      <c r="L29" t="n">
        <v>71</v>
      </c>
    </row>
    <row r="30">
      <c r="A30" t="n">
        <v>29</v>
      </c>
      <c r="B30" t="inlineStr">
        <is>
          <t>Echotech</t>
        </is>
      </c>
      <c r="C30" t="inlineStr">
        <is>
          <t>Sr. Python Developer</t>
        </is>
      </c>
      <c r="D30" t="inlineStr">
        <is>
          <t>Remote</t>
        </is>
      </c>
      <c r="E30" t="inlineStr">
        <is>
          <t>Indeed</t>
        </is>
      </c>
      <c r="F30" t="inlineStr">
        <is>
          <t>2026-05-23</t>
        </is>
      </c>
      <c r="G30" s="33">
        <f>HYPERLINK("https://to.indeed.com/aarbwym9kqst","Apply")</f>
        <v/>
      </c>
      <c r="H30" t="inlineStr">
        <is>
          <t>Tight</t>
        </is>
      </c>
      <c r="J30" t="inlineStr">
        <is>
          <t>Remote</t>
        </is>
      </c>
      <c r="K30" t="inlineStr">
        <is>
          <t>Ideal (3-6 yr)</t>
        </is>
      </c>
      <c r="L30" t="n">
        <v>82</v>
      </c>
    </row>
    <row r="31">
      <c r="A31" t="n">
        <v>30</v>
      </c>
      <c r="B31" t="inlineStr">
        <is>
          <t>Enfec Solutions</t>
        </is>
      </c>
      <c r="C31" t="inlineStr">
        <is>
          <t>Senior Python Developer</t>
        </is>
      </c>
      <c r="D31" t="inlineStr">
        <is>
          <t>Remote</t>
        </is>
      </c>
      <c r="E31" t="inlineStr">
        <is>
          <t>Indeed</t>
        </is>
      </c>
      <c r="F31" t="inlineStr">
        <is>
          <t>2026-04-22</t>
        </is>
      </c>
      <c r="G31" s="33">
        <f>HYPERLINK("https://to.indeed.com/aamzhhzkm7cy","Apply")</f>
        <v/>
      </c>
      <c r="H31" t="inlineStr">
        <is>
          <t>Tight</t>
        </is>
      </c>
      <c r="J31" t="inlineStr">
        <is>
          <t>Remote</t>
        </is>
      </c>
      <c r="K31" t="inlineStr">
        <is>
          <t>Ideal (3-6 yr)</t>
        </is>
      </c>
      <c r="L31" t="n">
        <v>113</v>
      </c>
    </row>
    <row r="32">
      <c r="A32" t="n">
        <v>31</v>
      </c>
      <c r="B32" t="inlineStr">
        <is>
          <t>Voicedots Infotech</t>
        </is>
      </c>
      <c r="C32" t="inlineStr">
        <is>
          <t>Senior Python Developer</t>
        </is>
      </c>
      <c r="D32" t="inlineStr">
        <is>
          <t>Remote</t>
        </is>
      </c>
      <c r="E32" t="inlineStr">
        <is>
          <t>Indeed</t>
        </is>
      </c>
      <c r="F32" t="inlineStr">
        <is>
          <t>2026-05-04</t>
        </is>
      </c>
      <c r="G32" s="33">
        <f>HYPERLINK("https://to.indeed.com/aa9sr8s4679r","Apply")</f>
        <v/>
      </c>
      <c r="H32" t="inlineStr">
        <is>
          <t>Tight</t>
        </is>
      </c>
      <c r="J32" t="inlineStr">
        <is>
          <t>Remote</t>
        </is>
      </c>
      <c r="K32" t="inlineStr">
        <is>
          <t>Ideal (3-6 yr)</t>
        </is>
      </c>
      <c r="L32" t="n">
        <v>101</v>
      </c>
    </row>
    <row r="33">
      <c r="A33" t="n">
        <v>32</v>
      </c>
      <c r="B33" t="inlineStr">
        <is>
          <t>CloudiQS</t>
        </is>
      </c>
      <c r="C33" t="inlineStr">
        <is>
          <t>AWS Full Stack Developer + Agentic AI</t>
        </is>
      </c>
      <c r="D33" t="inlineStr">
        <is>
          <t>Remote</t>
        </is>
      </c>
      <c r="E33" t="inlineStr">
        <is>
          <t>Indeed</t>
        </is>
      </c>
      <c r="F33" t="inlineStr">
        <is>
          <t>2026-03-14</t>
        </is>
      </c>
      <c r="G33" s="33">
        <f>HYPERLINK("https://to.indeed.com/aapc72s8gxcx","Apply")</f>
        <v/>
      </c>
      <c r="H33" t="inlineStr">
        <is>
          <t>Reasonable</t>
        </is>
      </c>
      <c r="I33" t="inlineStr">
        <is>
          <t>AWS + Agentic AI</t>
        </is>
      </c>
      <c r="J33" t="inlineStr">
        <is>
          <t>Remote</t>
        </is>
      </c>
      <c r="K33" t="inlineStr">
        <is>
          <t>Ideal (3-6 yr)</t>
        </is>
      </c>
      <c r="L33" t="n">
        <v>152</v>
      </c>
    </row>
    <row r="34">
      <c r="A34" t="n">
        <v>33</v>
      </c>
      <c r="B34" t="inlineStr">
        <is>
          <t>BuzzBoard</t>
        </is>
      </c>
      <c r="C34" t="inlineStr">
        <is>
          <t>Team Lead / Senior Specialist - AI</t>
        </is>
      </c>
      <c r="D34" t="inlineStr">
        <is>
          <t>Remote</t>
        </is>
      </c>
      <c r="E34" t="inlineStr">
        <is>
          <t>Indeed</t>
        </is>
      </c>
      <c r="F34" t="inlineStr">
        <is>
          <t>2026-05-20</t>
        </is>
      </c>
      <c r="G34" s="33">
        <f>HYPERLINK("https://to.indeed.com/aa2dsvvvpfsh","Apply")</f>
        <v/>
      </c>
      <c r="H34" t="inlineStr">
        <is>
          <t>Reasonable</t>
        </is>
      </c>
      <c r="J34" t="inlineStr">
        <is>
          <t>Remote</t>
        </is>
      </c>
      <c r="K34" t="inlineStr">
        <is>
          <t>Stretch (lead/8+)</t>
        </is>
      </c>
      <c r="L34" t="n">
        <v>85</v>
      </c>
    </row>
    <row r="35">
      <c r="A35" t="n">
        <v>34</v>
      </c>
      <c r="B35" t="inlineStr">
        <is>
          <t>UB Realty Inc.</t>
        </is>
      </c>
      <c r="C35" t="inlineStr">
        <is>
          <t>Full-Stack (Next.js + Python)</t>
        </is>
      </c>
      <c r="D35" t="inlineStr">
        <is>
          <t>Remote</t>
        </is>
      </c>
      <c r="E35" t="inlineStr">
        <is>
          <t>Indeed</t>
        </is>
      </c>
      <c r="F35" t="inlineStr">
        <is>
          <t>2026-06-11</t>
        </is>
      </c>
      <c r="G35" s="33">
        <f>HYPERLINK("https://to.indeed.com/aak44vgzlxry","Apply")</f>
        <v/>
      </c>
      <c r="H35" t="inlineStr">
        <is>
          <t>Reasonable</t>
        </is>
      </c>
      <c r="J35" t="inlineStr">
        <is>
          <t>Remote</t>
        </is>
      </c>
      <c r="K35" t="inlineStr">
        <is>
          <t>Ideal (3-6 yr)</t>
        </is>
      </c>
      <c r="L35" t="n">
        <v>63</v>
      </c>
    </row>
    <row r="36">
      <c r="A36" t="n">
        <v>35</v>
      </c>
      <c r="B36" t="inlineStr">
        <is>
          <t>Sparix Global</t>
        </is>
      </c>
      <c r="C36" t="inlineStr">
        <is>
          <t>Full Stack Developer</t>
        </is>
      </c>
      <c r="D36" t="inlineStr">
        <is>
          <t>Remote</t>
        </is>
      </c>
      <c r="E36" t="inlineStr">
        <is>
          <t>Indeed</t>
        </is>
      </c>
      <c r="F36" t="inlineStr">
        <is>
          <t>2026-03-19</t>
        </is>
      </c>
      <c r="G36" s="33">
        <f>HYPERLINK("https://to.indeed.com/aan2ywl9y4dn","Apply")</f>
        <v/>
      </c>
      <c r="H36" t="inlineStr">
        <is>
          <t>Loose</t>
        </is>
      </c>
      <c r="J36" t="inlineStr">
        <is>
          <t>Remote</t>
        </is>
      </c>
      <c r="K36" t="inlineStr">
        <is>
          <t>Ideal (3-6 yr)</t>
        </is>
      </c>
      <c r="L36" t="n">
        <v>147</v>
      </c>
    </row>
    <row r="37">
      <c r="A37" t="n">
        <v>36</v>
      </c>
      <c r="B37" t="inlineStr">
        <is>
          <t>HelixBeat</t>
        </is>
      </c>
      <c r="C37" t="inlineStr">
        <is>
          <t>Full Stack Developer</t>
        </is>
      </c>
      <c r="D37" t="inlineStr">
        <is>
          <t>Remote</t>
        </is>
      </c>
      <c r="E37" t="inlineStr">
        <is>
          <t>Indeed</t>
        </is>
      </c>
      <c r="F37" t="inlineStr">
        <is>
          <t>2026-04-23</t>
        </is>
      </c>
      <c r="G37" s="33">
        <f>HYPERLINK("https://to.indeed.com/aabvzkcbbzcz","Apply")</f>
        <v/>
      </c>
      <c r="H37" t="inlineStr">
        <is>
          <t>Loose</t>
        </is>
      </c>
      <c r="J37" t="inlineStr">
        <is>
          <t>Remote</t>
        </is>
      </c>
      <c r="K37" t="inlineStr">
        <is>
          <t>Ideal (3-6 yr)</t>
        </is>
      </c>
      <c r="L37" t="n">
        <v>112</v>
      </c>
    </row>
    <row r="38">
      <c r="A38" t="n">
        <v>37</v>
      </c>
      <c r="B38" t="inlineStr">
        <is>
          <t>Talent Vision Services</t>
        </is>
      </c>
      <c r="C38" t="inlineStr">
        <is>
          <t>Full Stack Developer</t>
        </is>
      </c>
      <c r="D38" t="inlineStr">
        <is>
          <t>Remote</t>
        </is>
      </c>
      <c r="E38" t="inlineStr">
        <is>
          <t>Indeed</t>
        </is>
      </c>
      <c r="F38" t="inlineStr">
        <is>
          <t>2025-08-11</t>
        </is>
      </c>
      <c r="G38" s="33">
        <f>HYPERLINK("https://to.indeed.com/aat26r76lqf7","Apply")</f>
        <v/>
      </c>
      <c r="H38" t="inlineStr">
        <is>
          <t>Loose</t>
        </is>
      </c>
      <c r="J38" t="inlineStr">
        <is>
          <t>Remote</t>
        </is>
      </c>
      <c r="K38" t="inlineStr">
        <is>
          <t>Ideal (3-6 yr)</t>
        </is>
      </c>
      <c r="L38" t="n">
        <v>367</v>
      </c>
    </row>
    <row r="39">
      <c r="A39" t="n">
        <v>55</v>
      </c>
      <c r="B39" t="inlineStr">
        <is>
          <t>AppSquadz Software</t>
        </is>
      </c>
      <c r="C39" t="inlineStr">
        <is>
          <t>Senior AI Engineer (Backend &amp; LLM Integration)</t>
        </is>
      </c>
      <c r="D39" t="inlineStr">
        <is>
          <t>Noida</t>
        </is>
      </c>
      <c r="E39" t="inlineStr">
        <is>
          <t>Indeed</t>
        </is>
      </c>
      <c r="F39" t="inlineStr">
        <is>
          <t>2026-06-05</t>
        </is>
      </c>
      <c r="G39" s="33">
        <f>HYPERLINK("https://to.indeed.com/aa9ldcdlxgrx","Apply")</f>
        <v/>
      </c>
      <c r="H39" t="inlineStr">
        <is>
          <t>Tight</t>
        </is>
      </c>
      <c r="I39" t="inlineStr">
        <is>
          <t>★ NEW Backend + LLM integration — strong agentic-AI fit</t>
        </is>
      </c>
      <c r="J39" t="inlineStr">
        <is>
          <t>Onsite/Hybrid</t>
        </is>
      </c>
      <c r="K39" t="inlineStr">
        <is>
          <t>Ideal (3-6 yr)</t>
        </is>
      </c>
      <c r="L39" t="n">
        <v>69</v>
      </c>
    </row>
    <row r="40">
      <c r="A40" t="n">
        <v>56</v>
      </c>
      <c r="B40" t="inlineStr">
        <is>
          <t>Avya Technology</t>
        </is>
      </c>
      <c r="C40" t="inlineStr">
        <is>
          <t>AI Agentic Engineer / AI Developer</t>
        </is>
      </c>
      <c r="D40" t="inlineStr">
        <is>
          <t>Noida</t>
        </is>
      </c>
      <c r="E40" t="inlineStr">
        <is>
          <t>Indeed</t>
        </is>
      </c>
      <c r="F40" t="inlineStr">
        <is>
          <t>2026-06-04</t>
        </is>
      </c>
      <c r="G40" s="33">
        <f>HYPERLINK("https://to.indeed.com/aamxxxbfvcyd","Apply")</f>
        <v/>
      </c>
      <c r="H40" t="inlineStr">
        <is>
          <t>Tight</t>
        </is>
      </c>
      <c r="I40" t="inlineStr">
        <is>
          <t>★ NEW Agentic AI — direct MCP/LangGraph match</t>
        </is>
      </c>
      <c r="J40" t="inlineStr">
        <is>
          <t>Onsite</t>
        </is>
      </c>
      <c r="K40" t="inlineStr">
        <is>
          <t>Ideal (3-6 yr)</t>
        </is>
      </c>
      <c r="L40" t="n">
        <v>70</v>
      </c>
    </row>
    <row r="41">
      <c r="A41" t="n">
        <v>57</v>
      </c>
      <c r="B41" t="inlineStr">
        <is>
          <t>Snapmint</t>
        </is>
      </c>
      <c r="C41" t="inlineStr">
        <is>
          <t>Staff Engineer - Backend</t>
        </is>
      </c>
      <c r="D41" t="inlineStr">
        <is>
          <t>Gurugram</t>
        </is>
      </c>
      <c r="E41" t="inlineStr">
        <is>
          <t>Indeed</t>
        </is>
      </c>
      <c r="F41" t="inlineStr">
        <is>
          <t>2026-06-12</t>
        </is>
      </c>
      <c r="G41" s="33">
        <f>HYPERLINK("https://to.indeed.com/aak4htbnwpdj","Apply")</f>
        <v/>
      </c>
      <c r="H41" t="inlineStr">
        <is>
          <t>Tight</t>
        </is>
      </c>
      <c r="I41" t="inlineStr">
        <is>
          <t>★ NEW Fintech, senior backend</t>
        </is>
      </c>
      <c r="J41" t="inlineStr">
        <is>
          <t>Onsite/Hybrid</t>
        </is>
      </c>
      <c r="K41" t="inlineStr">
        <is>
          <t>Stretch (lead/8+)</t>
        </is>
      </c>
      <c r="L41" t="n">
        <v>62</v>
      </c>
    </row>
    <row r="42">
      <c r="A42" t="n">
        <v>58</v>
      </c>
      <c r="B42" t="inlineStr">
        <is>
          <t>Masters India Pvt Ltd</t>
        </is>
      </c>
      <c r="C42" t="inlineStr">
        <is>
          <t>Tech Lead</t>
        </is>
      </c>
      <c r="D42" t="inlineStr">
        <is>
          <t>Noida</t>
        </is>
      </c>
      <c r="E42" t="inlineStr">
        <is>
          <t>Indeed</t>
        </is>
      </c>
      <c r="F42" t="inlineStr">
        <is>
          <t>2026-05-14</t>
        </is>
      </c>
      <c r="G42" s="33">
        <f>HYPERLINK("https://to.indeed.com/aacgtrrwjkjp","Apply")</f>
        <v/>
      </c>
      <c r="H42" t="inlineStr">
        <is>
          <t>Tight</t>
        </is>
      </c>
      <c r="I42" t="inlineStr">
        <is>
          <t>★ NEW GST/PAN domain — matches your SAP/GST e-invoicing exp</t>
        </is>
      </c>
      <c r="J42" t="inlineStr">
        <is>
          <t>Onsite</t>
        </is>
      </c>
      <c r="K42" t="inlineStr">
        <is>
          <t>Stretch (lead/8+)</t>
        </is>
      </c>
      <c r="L42" t="n">
        <v>91</v>
      </c>
    </row>
    <row r="43">
      <c r="A43" t="n">
        <v>59</v>
      </c>
      <c r="B43" t="inlineStr">
        <is>
          <t>Paytm</t>
        </is>
      </c>
      <c r="C43" t="inlineStr">
        <is>
          <t>Software Engineer - Python</t>
        </is>
      </c>
      <c r="D43" t="inlineStr">
        <is>
          <t>Noida</t>
        </is>
      </c>
      <c r="E43" t="inlineStr">
        <is>
          <t>Indeed</t>
        </is>
      </c>
      <c r="F43" t="inlineStr">
        <is>
          <t>2026-03-30</t>
        </is>
      </c>
      <c r="G43" s="33">
        <f>HYPERLINK("https://to.indeed.com/aayk486ktpql","Apply")</f>
        <v/>
      </c>
      <c r="H43" t="inlineStr">
        <is>
          <t>Reasonable</t>
        </is>
      </c>
      <c r="I43" t="inlineStr">
        <is>
          <t>★ NEW Product fintech, NCR</t>
        </is>
      </c>
      <c r="J43" t="inlineStr">
        <is>
          <t>Onsite</t>
        </is>
      </c>
      <c r="K43" t="inlineStr">
        <is>
          <t>Ideal (3-6 yr)</t>
        </is>
      </c>
      <c r="L43" t="n">
        <v>136</v>
      </c>
    </row>
    <row r="44">
      <c r="A44" t="n">
        <v>60</v>
      </c>
      <c r="B44" t="inlineStr">
        <is>
          <t>PAR Technology</t>
        </is>
      </c>
      <c r="C44" t="inlineStr">
        <is>
          <t>Senior AI Platform Engineer</t>
        </is>
      </c>
      <c r="D44" t="inlineStr">
        <is>
          <t>Gurugram</t>
        </is>
      </c>
      <c r="E44" t="inlineStr">
        <is>
          <t>Indeed</t>
        </is>
      </c>
      <c r="F44" t="inlineStr">
        <is>
          <t>2026-06-09</t>
        </is>
      </c>
      <c r="G44" s="33">
        <f>HYPERLINK("https://to.indeed.com/aarj2kbpcp29","Apply")</f>
        <v/>
      </c>
      <c r="H44" t="inlineStr">
        <is>
          <t>Reasonable</t>
        </is>
      </c>
      <c r="I44" t="inlineStr">
        <is>
          <t>★ NEW AI platform engineering</t>
        </is>
      </c>
      <c r="J44" t="inlineStr">
        <is>
          <t>Onsite/Hybrid</t>
        </is>
      </c>
      <c r="K44" t="inlineStr">
        <is>
          <t>Ideal (3-6 yr)</t>
        </is>
      </c>
      <c r="L44" t="n">
        <v>65</v>
      </c>
    </row>
    <row r="45">
      <c r="A45" t="n">
        <v>61</v>
      </c>
      <c r="B45" t="inlineStr">
        <is>
          <t>SWARAN SOFT Solutions</t>
        </is>
      </c>
      <c r="C45" t="inlineStr">
        <is>
          <t>AI Agentic Developer</t>
        </is>
      </c>
      <c r="D45" t="inlineStr">
        <is>
          <t>Gurugram</t>
        </is>
      </c>
      <c r="E45" t="inlineStr">
        <is>
          <t>Indeed</t>
        </is>
      </c>
      <c r="F45" t="inlineStr">
        <is>
          <t>2026-04-12</t>
        </is>
      </c>
      <c r="G45" s="33">
        <f>HYPERLINK("https://to.indeed.com/aal2yzhfdzl9","Apply")</f>
        <v/>
      </c>
      <c r="H45" t="inlineStr">
        <is>
          <t>Reasonable</t>
        </is>
      </c>
      <c r="I45" t="inlineStr">
        <is>
          <t>★ NEW Agentic AI</t>
        </is>
      </c>
      <c r="J45" t="inlineStr">
        <is>
          <t>Onsite</t>
        </is>
      </c>
      <c r="K45" t="inlineStr">
        <is>
          <t>Ideal (3-6 yr)</t>
        </is>
      </c>
      <c r="L45" t="n">
        <v>123</v>
      </c>
    </row>
    <row r="46">
      <c r="A46" t="n">
        <v>62</v>
      </c>
      <c r="B46" t="inlineStr">
        <is>
          <t>Talent Vision Services</t>
        </is>
      </c>
      <c r="C46" t="inlineStr">
        <is>
          <t>AI/ML &amp; Generative AI Developer</t>
        </is>
      </c>
      <c r="D46" t="inlineStr">
        <is>
          <t>Noida</t>
        </is>
      </c>
      <c r="E46" t="inlineStr">
        <is>
          <t>Indeed</t>
        </is>
      </c>
      <c r="F46" t="inlineStr">
        <is>
          <t>2026-06-09</t>
        </is>
      </c>
      <c r="G46" s="33">
        <f>HYPERLINK("https://to.indeed.com/aa7rm4dgvnl6","Apply")</f>
        <v/>
      </c>
      <c r="H46" t="inlineStr">
        <is>
          <t>Reasonable</t>
        </is>
      </c>
      <c r="I46" t="inlineStr">
        <is>
          <t>★ NEW GenAI role (Noida site)</t>
        </is>
      </c>
      <c r="J46" t="inlineStr">
        <is>
          <t>Onsite</t>
        </is>
      </c>
      <c r="K46" t="inlineStr">
        <is>
          <t>Ideal (3-6 yr)</t>
        </is>
      </c>
      <c r="L46" t="n">
        <v>65</v>
      </c>
    </row>
    <row r="47">
      <c r="A47" t="n">
        <v>63</v>
      </c>
      <c r="B47" t="inlineStr">
        <is>
          <t>EXL Service</t>
        </is>
      </c>
      <c r="C47" t="inlineStr">
        <is>
          <t>Developer (IC)</t>
        </is>
      </c>
      <c r="D47" t="inlineStr">
        <is>
          <t>Noida</t>
        </is>
      </c>
      <c r="E47" t="inlineStr">
        <is>
          <t>Indeed</t>
        </is>
      </c>
      <c r="F47" t="inlineStr">
        <is>
          <t>2026-02-25</t>
        </is>
      </c>
      <c r="G47" s="33">
        <f>HYPERLINK("https://to.indeed.com/aarpwfmz2t7q","Apply")</f>
        <v/>
      </c>
      <c r="H47" t="inlineStr">
        <is>
          <t>Reasonable</t>
        </is>
      </c>
      <c r="I47" t="inlineStr">
        <is>
          <t>★ NEW Analytics MNC</t>
        </is>
      </c>
      <c r="J47" t="inlineStr">
        <is>
          <t>Onsite</t>
        </is>
      </c>
      <c r="K47" t="inlineStr">
        <is>
          <t>Ideal (3-6 yr)</t>
        </is>
      </c>
      <c r="L47" t="n">
        <v>169</v>
      </c>
    </row>
    <row r="48">
      <c r="A48" t="n">
        <v>64</v>
      </c>
      <c r="B48" t="inlineStr">
        <is>
          <t>Institutional Shareholder Services</t>
        </is>
      </c>
      <c r="C48" t="inlineStr">
        <is>
          <t>Python Developer</t>
        </is>
      </c>
      <c r="D48" t="inlineStr">
        <is>
          <t>Gurugram</t>
        </is>
      </c>
      <c r="E48" t="inlineStr">
        <is>
          <t>Indeed</t>
        </is>
      </c>
      <c r="F48" t="inlineStr">
        <is>
          <t>2026-02-19</t>
        </is>
      </c>
      <c r="G48" s="33">
        <f>HYPERLINK("https://to.indeed.com/aaw9g9zcm7qw","Apply")</f>
        <v/>
      </c>
      <c r="H48" t="inlineStr">
        <is>
          <t>Reasonable</t>
        </is>
      </c>
      <c r="I48" t="inlineStr">
        <is>
          <t>★ NEW Fintech / data</t>
        </is>
      </c>
      <c r="J48" t="inlineStr">
        <is>
          <t>Onsite</t>
        </is>
      </c>
      <c r="K48" t="inlineStr">
        <is>
          <t>Ideal (3-6 yr)</t>
        </is>
      </c>
      <c r="L48" t="n">
        <v>175</v>
      </c>
    </row>
    <row r="49">
      <c r="A49" t="n">
        <v>65</v>
      </c>
      <c r="B49" t="inlineStr">
        <is>
          <t>Ashra Technology</t>
        </is>
      </c>
      <c r="C49" t="inlineStr">
        <is>
          <t>Python Developer</t>
        </is>
      </c>
      <c r="D49" t="inlineStr">
        <is>
          <t>Noida</t>
        </is>
      </c>
      <c r="E49" t="inlineStr">
        <is>
          <t>Indeed</t>
        </is>
      </c>
      <c r="F49" t="inlineStr">
        <is>
          <t>2026-06-02</t>
        </is>
      </c>
      <c r="G49" s="33">
        <f>HYPERLINK("https://to.indeed.com/aalhzlpk7mg7","Apply")</f>
        <v/>
      </c>
      <c r="H49" t="inlineStr">
        <is>
          <t>Reasonable</t>
        </is>
      </c>
      <c r="I49" t="inlineStr">
        <is>
          <t>★ NEW</t>
        </is>
      </c>
      <c r="J49" t="inlineStr">
        <is>
          <t>Onsite</t>
        </is>
      </c>
      <c r="K49" t="inlineStr">
        <is>
          <t>Ideal (3-6 yr)</t>
        </is>
      </c>
      <c r="L49" t="n">
        <v>72</v>
      </c>
    </row>
    <row r="50">
      <c r="A50" t="n">
        <v>66</v>
      </c>
      <c r="B50" t="inlineStr">
        <is>
          <t>CivicDataLab</t>
        </is>
      </c>
      <c r="C50" t="inlineStr">
        <is>
          <t>Senior Backend Developer</t>
        </is>
      </c>
      <c r="D50" t="inlineStr">
        <is>
          <t>Delhi</t>
        </is>
      </c>
      <c r="E50" t="inlineStr">
        <is>
          <t>Indeed</t>
        </is>
      </c>
      <c r="F50" t="inlineStr">
        <is>
          <t>2026-02-19</t>
        </is>
      </c>
      <c r="G50" s="33">
        <f>HYPERLINK("https://to.indeed.com/aaxn4cn26j8h","Apply")</f>
        <v/>
      </c>
      <c r="H50" t="inlineStr">
        <is>
          <t>Tight</t>
        </is>
      </c>
      <c r="I50" t="inlineStr">
        <is>
          <t>★ NEW Exact title match, civic-tech</t>
        </is>
      </c>
      <c r="J50" t="inlineStr">
        <is>
          <t>Onsite/Hybrid</t>
        </is>
      </c>
      <c r="K50" t="inlineStr">
        <is>
          <t>Ideal (3-6 yr)</t>
        </is>
      </c>
      <c r="L50" t="n">
        <v>175</v>
      </c>
    </row>
    <row r="51">
      <c r="A51" t="n">
        <v>67</v>
      </c>
      <c r="B51" t="inlineStr">
        <is>
          <t>TecOrb Technologies</t>
        </is>
      </c>
      <c r="C51" t="inlineStr">
        <is>
          <t>AI/ML &amp; Generative AI Developer</t>
        </is>
      </c>
      <c r="D51" t="inlineStr">
        <is>
          <t>Noida</t>
        </is>
      </c>
      <c r="E51" t="inlineStr">
        <is>
          <t>Indeed</t>
        </is>
      </c>
      <c r="F51" t="inlineStr">
        <is>
          <t>2026-06-01</t>
        </is>
      </c>
      <c r="G51" s="33">
        <f>HYPERLINK("https://to.indeed.com/aa8vnyp7q6nj","Apply")</f>
        <v/>
      </c>
      <c r="H51" t="inlineStr">
        <is>
          <t>Loose</t>
        </is>
      </c>
      <c r="I51" t="inlineStr">
        <is>
          <t>★ NEW GenAI, smaller firm</t>
        </is>
      </c>
      <c r="J51" t="inlineStr">
        <is>
          <t>Onsite</t>
        </is>
      </c>
      <c r="K51" t="inlineStr">
        <is>
          <t>Ideal (3-6 yr)</t>
        </is>
      </c>
      <c r="L51" t="n">
        <v>73</v>
      </c>
    </row>
    <row r="52">
      <c r="A52" t="n">
        <v>69</v>
      </c>
      <c r="B52" t="inlineStr">
        <is>
          <t>Devstree IT Services</t>
        </is>
      </c>
      <c r="C52" t="inlineStr">
        <is>
          <t>Senior Backend Developer</t>
        </is>
      </c>
      <c r="D52" t="inlineStr">
        <is>
          <t>Remote</t>
        </is>
      </c>
      <c r="E52" t="inlineStr">
        <is>
          <t>Indeed</t>
        </is>
      </c>
      <c r="F52" t="inlineStr">
        <is>
          <t>2026-06-11</t>
        </is>
      </c>
      <c r="G52" s="33">
        <f>HYPERLINK("https://to.indeed.com/aa2ttnkbpqlp","Apply")</f>
        <v/>
      </c>
      <c r="H52" t="inlineStr">
        <is>
          <t>Tight</t>
        </is>
      </c>
      <c r="I52" t="inlineStr">
        <is>
          <t>★ NEW</t>
        </is>
      </c>
      <c r="J52" t="inlineStr">
        <is>
          <t>Remote</t>
        </is>
      </c>
      <c r="K52" t="inlineStr">
        <is>
          <t>Ideal (3-6 yr)</t>
        </is>
      </c>
      <c r="L52" t="n">
        <v>63</v>
      </c>
    </row>
    <row r="53">
      <c r="A53" t="n">
        <v>70</v>
      </c>
      <c r="B53" t="inlineStr">
        <is>
          <t>HelixBeat</t>
        </is>
      </c>
      <c r="C53" t="inlineStr">
        <is>
          <t>Python Lead</t>
        </is>
      </c>
      <c r="D53" t="inlineStr">
        <is>
          <t>Remote</t>
        </is>
      </c>
      <c r="E53" t="inlineStr">
        <is>
          <t>Indeed</t>
        </is>
      </c>
      <c r="F53" t="inlineStr">
        <is>
          <t>2026-05-29</t>
        </is>
      </c>
      <c r="G53" s="33">
        <f>HYPERLINK("https://to.indeed.com/aavl4rhmzgmk","Apply")</f>
        <v/>
      </c>
      <c r="H53" t="inlineStr">
        <is>
          <t>Reasonable</t>
        </is>
      </c>
      <c r="I53" t="inlineStr">
        <is>
          <t>★ NEW Lead role</t>
        </is>
      </c>
      <c r="J53" t="inlineStr">
        <is>
          <t>Remote</t>
        </is>
      </c>
      <c r="K53" t="inlineStr">
        <is>
          <t>Stretch (lead/8+)</t>
        </is>
      </c>
      <c r="L53" t="n">
        <v>76</v>
      </c>
    </row>
    <row r="54">
      <c r="A54" t="n">
        <v>71</v>
      </c>
      <c r="B54" t="inlineStr">
        <is>
          <t>HelixBeat</t>
        </is>
      </c>
      <c r="C54" t="inlineStr">
        <is>
          <t>Lead Python Developer</t>
        </is>
      </c>
      <c r="D54" t="inlineStr">
        <is>
          <t>Remote</t>
        </is>
      </c>
      <c r="E54" t="inlineStr">
        <is>
          <t>Indeed</t>
        </is>
      </c>
      <c r="F54" t="inlineStr">
        <is>
          <t>2026-05-18</t>
        </is>
      </c>
      <c r="G54" s="33">
        <f>HYPERLINK("https://to.indeed.com/aafksgjcwszc","Apply")</f>
        <v/>
      </c>
      <c r="H54" t="inlineStr">
        <is>
          <t>Reasonable</t>
        </is>
      </c>
      <c r="I54" t="inlineStr">
        <is>
          <t>★ NEW Lead role</t>
        </is>
      </c>
      <c r="J54" t="inlineStr">
        <is>
          <t>Remote</t>
        </is>
      </c>
      <c r="K54" t="inlineStr">
        <is>
          <t>Stretch (lead/8+)</t>
        </is>
      </c>
      <c r="L54" t="n">
        <v>87</v>
      </c>
    </row>
    <row r="55">
      <c r="A55" t="n">
        <v>72</v>
      </c>
      <c r="B55" t="inlineStr">
        <is>
          <t>Banyan Data Services</t>
        </is>
      </c>
      <c r="C55" t="inlineStr">
        <is>
          <t>Senior Python Backend Developer</t>
        </is>
      </c>
      <c r="D55" t="inlineStr">
        <is>
          <t>Bengaluru</t>
        </is>
      </c>
      <c r="E55" t="inlineStr">
        <is>
          <t>Indeed</t>
        </is>
      </c>
      <c r="F55" t="inlineStr">
        <is>
          <t>2026-02-26</t>
        </is>
      </c>
      <c r="G55" s="33">
        <f>HYPERLINK("https://to.indeed.com/aa7t7l9d87yw","Apply")</f>
        <v/>
      </c>
      <c r="H55" t="inlineStr">
        <is>
          <t>Tight</t>
        </is>
      </c>
      <c r="I55" t="inlineStr">
        <is>
          <t>★ NEW Exact title match</t>
        </is>
      </c>
      <c r="J55" t="inlineStr">
        <is>
          <t>Onsite</t>
        </is>
      </c>
      <c r="K55" t="inlineStr">
        <is>
          <t>Ideal (3-6 yr)</t>
        </is>
      </c>
      <c r="L55" t="n">
        <v>168</v>
      </c>
    </row>
    <row r="56">
      <c r="A56" t="n">
        <v>73</v>
      </c>
      <c r="B56" t="inlineStr">
        <is>
          <t>Adobe</t>
        </is>
      </c>
      <c r="C56" t="inlineStr">
        <is>
          <t>Computer Scientist (Python)</t>
        </is>
      </c>
      <c r="D56" t="inlineStr">
        <is>
          <t>Bengaluru</t>
        </is>
      </c>
      <c r="E56" t="inlineStr">
        <is>
          <t>Indeed</t>
        </is>
      </c>
      <c r="F56" t="inlineStr">
        <is>
          <t>2026-05-19</t>
        </is>
      </c>
      <c r="G56" s="33">
        <f>HYPERLINK("https://to.indeed.com/aak22tzzwxvb","Apply")</f>
        <v/>
      </c>
      <c r="H56" t="inlineStr">
        <is>
          <t>Reasonable</t>
        </is>
      </c>
      <c r="I56" t="inlineStr">
        <is>
          <t>★ NEW Product MNC</t>
        </is>
      </c>
      <c r="J56" t="inlineStr">
        <is>
          <t>Onsite</t>
        </is>
      </c>
      <c r="K56" t="inlineStr">
        <is>
          <t>Ideal (3-6 yr)</t>
        </is>
      </c>
      <c r="L56" t="n">
        <v>86</v>
      </c>
    </row>
    <row r="57">
      <c r="A57" t="n">
        <v>74</v>
      </c>
      <c r="B57" t="inlineStr">
        <is>
          <t>NetApp</t>
        </is>
      </c>
      <c r="C57" t="inlineStr">
        <is>
          <t>AI Engineer / AI Developer</t>
        </is>
      </c>
      <c r="D57" t="inlineStr">
        <is>
          <t>Bengaluru</t>
        </is>
      </c>
      <c r="E57" t="inlineStr">
        <is>
          <t>Indeed</t>
        </is>
      </c>
      <c r="F57" t="inlineStr">
        <is>
          <t>2026-06-10</t>
        </is>
      </c>
      <c r="G57" s="33">
        <f>HYPERLINK("https://to.indeed.com/aahp9796f4xb","Apply")</f>
        <v/>
      </c>
      <c r="H57" t="inlineStr">
        <is>
          <t>Reasonable</t>
        </is>
      </c>
      <c r="I57" t="inlineStr">
        <is>
          <t>★ NEW</t>
        </is>
      </c>
      <c r="J57" t="inlineStr">
        <is>
          <t>Onsite/Hybrid</t>
        </is>
      </c>
      <c r="K57" t="inlineStr">
        <is>
          <t>Ideal (3-6 yr)</t>
        </is>
      </c>
      <c r="L57" t="n">
        <v>64</v>
      </c>
    </row>
    <row r="58">
      <c r="A58" t="n">
        <v>75</v>
      </c>
      <c r="B58" t="inlineStr">
        <is>
          <t>Cspar Enterprises</t>
        </is>
      </c>
      <c r="C58" t="inlineStr">
        <is>
          <t>Python/Django Developer</t>
        </is>
      </c>
      <c r="D58" t="inlineStr">
        <is>
          <t>Bengaluru</t>
        </is>
      </c>
      <c r="E58" t="inlineStr">
        <is>
          <t>Indeed</t>
        </is>
      </c>
      <c r="F58" t="inlineStr">
        <is>
          <t>2026-06-06</t>
        </is>
      </c>
      <c r="G58" s="33">
        <f>HYPERLINK("https://to.indeed.com/aagl6jzsfxxj","Apply")</f>
        <v/>
      </c>
      <c r="H58" t="inlineStr">
        <is>
          <t>Reasonable</t>
        </is>
      </c>
      <c r="I58" t="inlineStr">
        <is>
          <t>★ NEW Django</t>
        </is>
      </c>
      <c r="J58" t="inlineStr">
        <is>
          <t>Onsite</t>
        </is>
      </c>
      <c r="K58" t="inlineStr">
        <is>
          <t>Ideal (3-6 yr)</t>
        </is>
      </c>
      <c r="L58" t="n">
        <v>68</v>
      </c>
    </row>
    <row r="59">
      <c r="A59" t="n">
        <v>76</v>
      </c>
      <c r="B59" t="inlineStr">
        <is>
          <t>tawasol</t>
        </is>
      </c>
      <c r="C59" t="inlineStr">
        <is>
          <t>Senior Back-End Developer</t>
        </is>
      </c>
      <c r="D59" t="inlineStr">
        <is>
          <t>Bengaluru</t>
        </is>
      </c>
      <c r="E59" t="inlineStr">
        <is>
          <t>Indeed</t>
        </is>
      </c>
      <c r="F59" t="inlineStr">
        <is>
          <t>2026-04-13</t>
        </is>
      </c>
      <c r="G59" s="33">
        <f>HYPERLINK("https://to.indeed.com/aakgpfxqsx2y","Apply")</f>
        <v/>
      </c>
      <c r="H59" t="inlineStr">
        <is>
          <t>Reasonable</t>
        </is>
      </c>
      <c r="I59" t="inlineStr">
        <is>
          <t>★ NEW</t>
        </is>
      </c>
      <c r="J59" t="inlineStr">
        <is>
          <t>Onsite</t>
        </is>
      </c>
      <c r="K59" t="inlineStr">
        <is>
          <t>Ideal (3-6 yr)</t>
        </is>
      </c>
      <c r="L59" t="n">
        <v>122</v>
      </c>
    </row>
    <row r="60">
      <c r="A60" t="n">
        <v>77</v>
      </c>
      <c r="B60" t="inlineStr">
        <is>
          <t>AlfaLabs Technologies</t>
        </is>
      </c>
      <c r="C60" t="inlineStr">
        <is>
          <t>Lead/Senior Python Developer</t>
        </is>
      </c>
      <c r="D60" t="inlineStr">
        <is>
          <t>Hyderabad</t>
        </is>
      </c>
      <c r="E60" t="inlineStr">
        <is>
          <t>Indeed</t>
        </is>
      </c>
      <c r="F60" t="inlineStr">
        <is>
          <t>2026-05-18</t>
        </is>
      </c>
      <c r="G60" s="33">
        <f>HYPERLINK("https://to.indeed.com/aaj72v84pxrt","Apply")</f>
        <v/>
      </c>
      <c r="H60" t="inlineStr">
        <is>
          <t>Tight</t>
        </is>
      </c>
      <c r="I60" t="inlineStr">
        <is>
          <t>★ NEW</t>
        </is>
      </c>
      <c r="J60" t="inlineStr">
        <is>
          <t>Onsite</t>
        </is>
      </c>
      <c r="K60" t="inlineStr">
        <is>
          <t>Stretch (lead/8+)</t>
        </is>
      </c>
      <c r="L60" t="n">
        <v>87</v>
      </c>
    </row>
    <row r="61">
      <c r="A61" t="n">
        <v>78</v>
      </c>
      <c r="B61" t="inlineStr">
        <is>
          <t>EffiaSoft</t>
        </is>
      </c>
      <c r="C61" t="inlineStr">
        <is>
          <t>Backend Developer (Python)</t>
        </is>
      </c>
      <c r="D61" t="inlineStr">
        <is>
          <t>Hyderabad</t>
        </is>
      </c>
      <c r="E61" t="inlineStr">
        <is>
          <t>Indeed</t>
        </is>
      </c>
      <c r="F61" t="inlineStr">
        <is>
          <t>2026-02-20</t>
        </is>
      </c>
      <c r="G61" s="33">
        <f>HYPERLINK("https://to.indeed.com/aacrymbcjyb8","Apply")</f>
        <v/>
      </c>
      <c r="H61" t="inlineStr">
        <is>
          <t>Reasonable</t>
        </is>
      </c>
      <c r="I61" t="inlineStr">
        <is>
          <t>★ NEW</t>
        </is>
      </c>
      <c r="J61" t="inlineStr">
        <is>
          <t>Onsite</t>
        </is>
      </c>
      <c r="K61" t="inlineStr">
        <is>
          <t>Ideal (3-6 yr)</t>
        </is>
      </c>
      <c r="L61" t="n">
        <v>174</v>
      </c>
    </row>
    <row r="62">
      <c r="A62" t="n">
        <v>79</v>
      </c>
      <c r="B62" t="inlineStr">
        <is>
          <t>OPTIVA</t>
        </is>
      </c>
      <c r="C62" t="inlineStr">
        <is>
          <t>Software Developer (Python)</t>
        </is>
      </c>
      <c r="D62" t="inlineStr">
        <is>
          <t>Hyderabad</t>
        </is>
      </c>
      <c r="E62" t="inlineStr">
        <is>
          <t>Indeed</t>
        </is>
      </c>
      <c r="F62" t="inlineStr">
        <is>
          <t>2026-03-17</t>
        </is>
      </c>
      <c r="G62" s="33">
        <f>HYPERLINK("https://to.indeed.com/aawnr48nrdpq","Apply")</f>
        <v/>
      </c>
      <c r="H62" t="inlineStr">
        <is>
          <t>Reasonable</t>
        </is>
      </c>
      <c r="I62" t="inlineStr">
        <is>
          <t>★ NEW</t>
        </is>
      </c>
      <c r="J62" t="inlineStr">
        <is>
          <t>Onsite</t>
        </is>
      </c>
      <c r="K62" t="inlineStr">
        <is>
          <t>Ideal (3-6 yr)</t>
        </is>
      </c>
      <c r="L62" t="n">
        <v>149</v>
      </c>
    </row>
    <row r="63">
      <c r="A63" t="n">
        <v>80</v>
      </c>
      <c r="B63" t="inlineStr">
        <is>
          <t>CGI</t>
        </is>
      </c>
      <c r="C63" t="inlineStr">
        <is>
          <t>Senior Software Engineer - Python AI Developer</t>
        </is>
      </c>
      <c r="D63" t="inlineStr">
        <is>
          <t>Pune</t>
        </is>
      </c>
      <c r="E63" t="inlineStr">
        <is>
          <t>Indeed</t>
        </is>
      </c>
      <c r="F63" t="inlineStr">
        <is>
          <t>2026-06-08</t>
        </is>
      </c>
      <c r="G63" s="33">
        <f>HYPERLINK("https://to.indeed.com/aad498th7m8r","Apply")</f>
        <v/>
      </c>
      <c r="H63" t="inlineStr">
        <is>
          <t>Tight</t>
        </is>
      </c>
      <c r="I63" t="inlineStr">
        <is>
          <t>★ NEW Python + AI</t>
        </is>
      </c>
      <c r="J63" t="inlineStr">
        <is>
          <t>Onsite/Hybrid</t>
        </is>
      </c>
      <c r="K63" t="inlineStr">
        <is>
          <t>Ideal (3-6 yr)</t>
        </is>
      </c>
      <c r="L63" t="n">
        <v>66</v>
      </c>
    </row>
    <row r="64">
      <c r="A64" t="n">
        <v>81</v>
      </c>
      <c r="B64" t="inlineStr">
        <is>
          <t>Citi</t>
        </is>
      </c>
      <c r="C64" t="inlineStr">
        <is>
          <t>Senior Python Developer</t>
        </is>
      </c>
      <c r="D64" t="inlineStr">
        <is>
          <t>Pune</t>
        </is>
      </c>
      <c r="E64" t="inlineStr">
        <is>
          <t>Indeed</t>
        </is>
      </c>
      <c r="F64" t="inlineStr">
        <is>
          <t>2026-04-30</t>
        </is>
      </c>
      <c r="G64" s="33">
        <f>HYPERLINK("https://to.indeed.com/aa9by7z9mpss","Apply")</f>
        <v/>
      </c>
      <c r="H64" t="inlineStr">
        <is>
          <t>Tight</t>
        </is>
      </c>
      <c r="I64" t="inlineStr">
        <is>
          <t>★ NEW 2nd Citi Pune role</t>
        </is>
      </c>
      <c r="J64" t="inlineStr">
        <is>
          <t>Onsite/Hybrid</t>
        </is>
      </c>
      <c r="K64" t="inlineStr">
        <is>
          <t>Ideal (3-6 yr)</t>
        </is>
      </c>
      <c r="L64" t="n">
        <v>105</v>
      </c>
    </row>
    <row r="65">
      <c r="A65" t="n">
        <v>82</v>
      </c>
      <c r="B65" t="inlineStr">
        <is>
          <t>InfoBeans</t>
        </is>
      </c>
      <c r="C65" t="inlineStr">
        <is>
          <t>Sr Python Full Stack Developer</t>
        </is>
      </c>
      <c r="D65" t="inlineStr">
        <is>
          <t>Pune</t>
        </is>
      </c>
      <c r="E65" t="inlineStr">
        <is>
          <t>Indeed</t>
        </is>
      </c>
      <c r="F65" t="inlineStr">
        <is>
          <t>2026-06-04</t>
        </is>
      </c>
      <c r="G65" s="33">
        <f>HYPERLINK("https://to.indeed.com/aahm7gqnyrfq","Apply")</f>
        <v/>
      </c>
      <c r="H65" t="inlineStr">
        <is>
          <t>Reasonable</t>
        </is>
      </c>
      <c r="I65" t="inlineStr">
        <is>
          <t>★ NEW</t>
        </is>
      </c>
      <c r="J65" t="inlineStr">
        <is>
          <t>Onsite</t>
        </is>
      </c>
      <c r="K65" t="inlineStr">
        <is>
          <t>Ideal (3-6 yr)</t>
        </is>
      </c>
      <c r="L65" t="n">
        <v>70</v>
      </c>
    </row>
    <row r="66">
      <c r="A66" t="n">
        <v>83</v>
      </c>
      <c r="B66" t="inlineStr">
        <is>
          <t>Citi</t>
        </is>
      </c>
      <c r="C66" t="inlineStr">
        <is>
          <t>Python Application Development Tech Lead Analyst</t>
        </is>
      </c>
      <c r="D66" t="inlineStr">
        <is>
          <t>Pune</t>
        </is>
      </c>
      <c r="E66" t="inlineStr">
        <is>
          <t>Indeed</t>
        </is>
      </c>
      <c r="F66" t="inlineStr">
        <is>
          <t>2026-04-30</t>
        </is>
      </c>
      <c r="G66" s="33">
        <f>HYPERLINK("https://to.indeed.com/aabxyrxq94hn","Apply")</f>
        <v/>
      </c>
      <c r="H66" t="inlineStr">
        <is>
          <t>Reasonable</t>
        </is>
      </c>
      <c r="I66" t="inlineStr">
        <is>
          <t>★ NEW</t>
        </is>
      </c>
      <c r="J66" t="inlineStr">
        <is>
          <t>Onsite/Hybrid</t>
        </is>
      </c>
      <c r="K66" t="inlineStr">
        <is>
          <t>Stretch (lead/8+)</t>
        </is>
      </c>
      <c r="L66" t="n">
        <v>105</v>
      </c>
    </row>
    <row r="67">
      <c r="A67" t="n">
        <v>84</v>
      </c>
      <c r="B67" t="inlineStr">
        <is>
          <t>Solutionchamps Technologies</t>
        </is>
      </c>
      <c r="C67" t="inlineStr">
        <is>
          <t>Senior Python Backend Developer (React Exposure)</t>
        </is>
      </c>
      <c r="D67" t="inlineStr">
        <is>
          <t>Chennai</t>
        </is>
      </c>
      <c r="E67" t="inlineStr">
        <is>
          <t>Indeed</t>
        </is>
      </c>
      <c r="F67" t="inlineStr">
        <is>
          <t>2026-03-04</t>
        </is>
      </c>
      <c r="G67" s="33">
        <f>HYPERLINK("https://to.indeed.com/aajxp9vgdy6r","Apply")</f>
        <v/>
      </c>
      <c r="H67" t="inlineStr">
        <is>
          <t>Tight</t>
        </is>
      </c>
      <c r="I67" t="inlineStr">
        <is>
          <t>★ Pan-India Chennai — exact title</t>
        </is>
      </c>
      <c r="J67" t="inlineStr">
        <is>
          <t>Onsite/Hybrid</t>
        </is>
      </c>
      <c r="K67" t="inlineStr">
        <is>
          <t>Ideal (3-6 yr)</t>
        </is>
      </c>
      <c r="L67" t="n">
        <v>162</v>
      </c>
    </row>
    <row r="68">
      <c r="A68" t="n">
        <v>86</v>
      </c>
      <c r="B68" t="inlineStr">
        <is>
          <t>Roanuz</t>
        </is>
      </c>
      <c r="C68" t="inlineStr">
        <is>
          <t>Senior Python Developer</t>
        </is>
      </c>
      <c r="D68" t="inlineStr">
        <is>
          <t>Chennai</t>
        </is>
      </c>
      <c r="E68" t="inlineStr">
        <is>
          <t>Indeed</t>
        </is>
      </c>
      <c r="F68" t="inlineStr">
        <is>
          <t>2026-03-05</t>
        </is>
      </c>
      <c r="G68" s="33">
        <f>HYPERLINK("https://to.indeed.com/aazk7dyflt8g","Apply")</f>
        <v/>
      </c>
      <c r="H68" t="inlineStr">
        <is>
          <t>Tight</t>
        </is>
      </c>
      <c r="I68" t="inlineStr">
        <is>
          <t>★ Pan-India Chennai — product (cricket API)</t>
        </is>
      </c>
      <c r="J68" t="inlineStr">
        <is>
          <t>Onsite/Hybrid</t>
        </is>
      </c>
      <c r="K68" t="inlineStr">
        <is>
          <t>Ideal (3-6 yr)</t>
        </is>
      </c>
      <c r="L68" t="n">
        <v>161</v>
      </c>
    </row>
    <row r="69">
      <c r="A69" t="n">
        <v>88</v>
      </c>
      <c r="B69" t="inlineStr">
        <is>
          <t>Luxoft</t>
        </is>
      </c>
      <c r="C69" t="inlineStr">
        <is>
          <t>Senior PySpark Developer</t>
        </is>
      </c>
      <c r="D69" t="inlineStr">
        <is>
          <t>Chennai</t>
        </is>
      </c>
      <c r="E69" t="inlineStr">
        <is>
          <t>Indeed</t>
        </is>
      </c>
      <c r="F69" t="inlineStr">
        <is>
          <t>2026-02-19</t>
        </is>
      </c>
      <c r="G69" s="33">
        <f>HYPERLINK("https://to.indeed.com/aasm9c6lhfyl","Apply")</f>
        <v/>
      </c>
      <c r="H69" t="inlineStr">
        <is>
          <t>Reasonable</t>
        </is>
      </c>
      <c r="I69" t="inlineStr">
        <is>
          <t>★ Pan-India Chennai — MNC, data eng</t>
        </is>
      </c>
      <c r="J69" t="inlineStr">
        <is>
          <t>Onsite/Hybrid</t>
        </is>
      </c>
      <c r="K69" t="inlineStr">
        <is>
          <t>Ideal (3-6 yr)</t>
        </is>
      </c>
      <c r="L69" t="n">
        <v>175</v>
      </c>
    </row>
    <row r="70">
      <c r="A70" t="n">
        <v>90</v>
      </c>
      <c r="B70" t="inlineStr">
        <is>
          <t>10decoders</t>
        </is>
      </c>
      <c r="C70" t="inlineStr">
        <is>
          <t>Full Stack Engineer — AI-Enabled App Dev</t>
        </is>
      </c>
      <c r="D70" t="inlineStr">
        <is>
          <t>Chennai</t>
        </is>
      </c>
      <c r="E70" t="inlineStr">
        <is>
          <t>Indeed</t>
        </is>
      </c>
      <c r="F70" t="inlineStr">
        <is>
          <t>2026-06-09</t>
        </is>
      </c>
      <c r="G70" s="33">
        <f>HYPERLINK("https://to.indeed.com/aajdjyjnmdvw","Apply")</f>
        <v/>
      </c>
      <c r="H70" t="inlineStr">
        <is>
          <t>Reasonable</t>
        </is>
      </c>
      <c r="I70" t="inlineStr">
        <is>
          <t>★ Pan-India Chennai — AI apps</t>
        </is>
      </c>
      <c r="J70" t="inlineStr">
        <is>
          <t>Onsite</t>
        </is>
      </c>
      <c r="K70" t="inlineStr">
        <is>
          <t>Ideal (3-6 yr)</t>
        </is>
      </c>
      <c r="L70" t="n">
        <v>65</v>
      </c>
    </row>
    <row r="71">
      <c r="A71" t="n">
        <v>93</v>
      </c>
      <c r="B71" t="inlineStr">
        <is>
          <t>Rhosigma Engineering</t>
        </is>
      </c>
      <c r="C71" t="inlineStr">
        <is>
          <t>Senior Python/Django Developer</t>
        </is>
      </c>
      <c r="D71" t="inlineStr">
        <is>
          <t>Thane, Mumbai</t>
        </is>
      </c>
      <c r="E71" t="inlineStr">
        <is>
          <t>Indeed</t>
        </is>
      </c>
      <c r="F71" t="inlineStr">
        <is>
          <t>2026-04-09</t>
        </is>
      </c>
      <c r="G71" s="33">
        <f>HYPERLINK("https://to.indeed.com/aamj229l4qh6","Apply")</f>
        <v/>
      </c>
      <c r="H71" t="inlineStr">
        <is>
          <t>Tight</t>
        </is>
      </c>
      <c r="I71" t="inlineStr">
        <is>
          <t>★ Pan-India Mumbai — Django</t>
        </is>
      </c>
      <c r="J71" t="inlineStr">
        <is>
          <t>Onsite</t>
        </is>
      </c>
      <c r="K71" t="inlineStr">
        <is>
          <t>Ideal (3-6 yr)</t>
        </is>
      </c>
      <c r="L71" t="n">
        <v>126</v>
      </c>
    </row>
    <row r="72">
      <c r="A72" t="n">
        <v>94</v>
      </c>
      <c r="B72" t="inlineStr">
        <is>
          <t>Infomanav</t>
        </is>
      </c>
      <c r="C72" t="inlineStr">
        <is>
          <t>Sr. Python Developer (Django)</t>
        </is>
      </c>
      <c r="D72" t="inlineStr">
        <is>
          <t>Mumbai / Nashik</t>
        </is>
      </c>
      <c r="E72" t="inlineStr">
        <is>
          <t>Indeed</t>
        </is>
      </c>
      <c r="F72" t="inlineStr">
        <is>
          <t>2026-02-19</t>
        </is>
      </c>
      <c r="G72" s="33">
        <f>HYPERLINK("https://to.indeed.com/aapyv4twsn8x","Apply")</f>
        <v/>
      </c>
      <c r="H72" t="inlineStr">
        <is>
          <t>Tight</t>
        </is>
      </c>
      <c r="I72" t="inlineStr">
        <is>
          <t>★ Pan-India Mumbai — Django</t>
        </is>
      </c>
      <c r="J72" t="inlineStr">
        <is>
          <t>Onsite</t>
        </is>
      </c>
      <c r="K72" t="inlineStr">
        <is>
          <t>Ideal (3-6 yr)</t>
        </is>
      </c>
      <c r="L72" t="n">
        <v>175</v>
      </c>
    </row>
    <row r="73">
      <c r="A73" t="n">
        <v>97</v>
      </c>
      <c r="B73" t="inlineStr">
        <is>
          <t>Gray Matrix</t>
        </is>
      </c>
      <c r="C73" t="inlineStr">
        <is>
          <t>Python Developers</t>
        </is>
      </c>
      <c r="D73" t="inlineStr">
        <is>
          <t>Mumbai</t>
        </is>
      </c>
      <c r="E73" t="inlineStr">
        <is>
          <t>Indeed</t>
        </is>
      </c>
      <c r="F73" t="inlineStr">
        <is>
          <t>2026-02-19</t>
        </is>
      </c>
      <c r="G73" s="33">
        <f>HYPERLINK("https://to.indeed.com/aalzhr2ydzxr","Apply")</f>
        <v/>
      </c>
      <c r="H73" t="inlineStr">
        <is>
          <t>Reasonable</t>
        </is>
      </c>
      <c r="I73" t="inlineStr">
        <is>
          <t>★ Pan-India Mumbai</t>
        </is>
      </c>
      <c r="J73" t="inlineStr">
        <is>
          <t>Onsite</t>
        </is>
      </c>
      <c r="K73" t="inlineStr">
        <is>
          <t>Ideal (3-6 yr)</t>
        </is>
      </c>
      <c r="L73" t="n">
        <v>175</v>
      </c>
    </row>
    <row r="74">
      <c r="A74" t="n">
        <v>98</v>
      </c>
      <c r="B74" t="inlineStr">
        <is>
          <t>UST</t>
        </is>
      </c>
      <c r="C74" t="inlineStr">
        <is>
          <t>Python, FastAPI — Agentic AI Platforms</t>
        </is>
      </c>
      <c r="D74" t="inlineStr">
        <is>
          <t>Kolkata</t>
        </is>
      </c>
      <c r="E74" t="inlineStr">
        <is>
          <t>Indeed</t>
        </is>
      </c>
      <c r="F74" t="inlineStr">
        <is>
          <t>2026-06-09</t>
        </is>
      </c>
      <c r="G74" s="33">
        <f>HYPERLINK("https://to.indeed.com/aaldrrkds7tm","Apply")</f>
        <v/>
      </c>
      <c r="H74" t="inlineStr">
        <is>
          <t>Tight</t>
        </is>
      </c>
      <c r="I74" t="inlineStr">
        <is>
          <t>★ Pan-India Kolkata — FastAPI + Agentic AI (strong fit)</t>
        </is>
      </c>
      <c r="J74" t="inlineStr">
        <is>
          <t>Onsite/Hybrid</t>
        </is>
      </c>
      <c r="K74" t="inlineStr">
        <is>
          <t>Ideal (3-6 yr)</t>
        </is>
      </c>
      <c r="L74" t="n">
        <v>65</v>
      </c>
    </row>
    <row r="75">
      <c r="A75" t="n">
        <v>103</v>
      </c>
      <c r="B75" t="inlineStr">
        <is>
          <t>TOPS Infosolutions</t>
        </is>
      </c>
      <c r="C75" t="inlineStr">
        <is>
          <t>Sr. Python Developer</t>
        </is>
      </c>
      <c r="D75" t="inlineStr">
        <is>
          <t>Ahmedabad</t>
        </is>
      </c>
      <c r="E75" t="inlineStr">
        <is>
          <t>Indeed</t>
        </is>
      </c>
      <c r="F75" t="inlineStr">
        <is>
          <t>2026-03-30</t>
        </is>
      </c>
      <c r="G75" s="33">
        <f>HYPERLINK("https://to.indeed.com/aawmp77n6syr","Apply")</f>
        <v/>
      </c>
      <c r="H75" t="inlineStr">
        <is>
          <t>Tight</t>
        </is>
      </c>
      <c r="I75" t="inlineStr">
        <is>
          <t>★ Pan-India Ahmedabad</t>
        </is>
      </c>
      <c r="J75" t="inlineStr">
        <is>
          <t>Onsite</t>
        </is>
      </c>
      <c r="K75" t="inlineStr">
        <is>
          <t>Ideal (3-6 yr)</t>
        </is>
      </c>
      <c r="L75" t="n">
        <v>136</v>
      </c>
    </row>
    <row r="76">
      <c r="A76" t="n">
        <v>104</v>
      </c>
      <c r="B76" t="inlineStr">
        <is>
          <t>WeblineIndia</t>
        </is>
      </c>
      <c r="C76" t="inlineStr">
        <is>
          <t>Senior Full Stack Developer (Python + React)</t>
        </is>
      </c>
      <c r="D76" t="inlineStr">
        <is>
          <t>Ahmedabad</t>
        </is>
      </c>
      <c r="E76" t="inlineStr">
        <is>
          <t>Indeed</t>
        </is>
      </c>
      <c r="F76" t="inlineStr">
        <is>
          <t>2026-02-19</t>
        </is>
      </c>
      <c r="G76" s="33">
        <f>HYPERLINK("https://to.indeed.com/aa2nrmnt8kkl","Apply")</f>
        <v/>
      </c>
      <c r="H76" t="inlineStr">
        <is>
          <t>Reasonable</t>
        </is>
      </c>
      <c r="I76" t="inlineStr">
        <is>
          <t>★ Pan-India Ahmedabad</t>
        </is>
      </c>
      <c r="J76" t="inlineStr">
        <is>
          <t>Onsite</t>
        </is>
      </c>
      <c r="K76" t="inlineStr">
        <is>
          <t>Ideal (3-6 yr)</t>
        </is>
      </c>
      <c r="L76" t="n">
        <v>175</v>
      </c>
    </row>
    <row r="77">
      <c r="A77" t="n">
        <v>106</v>
      </c>
      <c r="B77" t="inlineStr">
        <is>
          <t>Auriga</t>
        </is>
      </c>
      <c r="C77" t="inlineStr">
        <is>
          <t>SDE II - Python Engineer</t>
        </is>
      </c>
      <c r="D77" t="inlineStr">
        <is>
          <t>Jaipur</t>
        </is>
      </c>
      <c r="E77" t="inlineStr">
        <is>
          <t>Indeed</t>
        </is>
      </c>
      <c r="F77" t="inlineStr">
        <is>
          <t>2026-02-27</t>
        </is>
      </c>
      <c r="G77" s="33">
        <f>HYPERLINK("https://to.indeed.com/aadkshlzbc7p","Apply")</f>
        <v/>
      </c>
      <c r="H77" t="inlineStr">
        <is>
          <t>Reasonable</t>
        </is>
      </c>
      <c r="I77" t="inlineStr">
        <is>
          <t>★ Pan-India Jaipur — mid/senior SDE</t>
        </is>
      </c>
      <c r="J77" t="inlineStr">
        <is>
          <t>Onsite/Hybrid</t>
        </is>
      </c>
      <c r="K77" t="inlineStr">
        <is>
          <t>Ideal (3-6 yr)</t>
        </is>
      </c>
      <c r="L77" t="n">
        <v>167</v>
      </c>
    </row>
    <row r="78">
      <c r="A78" t="n">
        <v>108</v>
      </c>
      <c r="B78" t="inlineStr">
        <is>
          <t>Accenture</t>
        </is>
      </c>
      <c r="C78" t="inlineStr">
        <is>
          <t>Custom Software Engineer</t>
        </is>
      </c>
      <c r="D78" t="inlineStr">
        <is>
          <t>Indore</t>
        </is>
      </c>
      <c r="E78" t="inlineStr">
        <is>
          <t>Indeed</t>
        </is>
      </c>
      <c r="F78" t="inlineStr">
        <is>
          <t>2026-03-01</t>
        </is>
      </c>
      <c r="G78" s="33">
        <f>HYPERLINK("https://to.indeed.com/aanwhkzkgs28","Apply")</f>
        <v/>
      </c>
      <c r="H78" t="inlineStr">
        <is>
          <t>Reasonable</t>
        </is>
      </c>
      <c r="I78" t="inlineStr">
        <is>
          <t>★ Pan-India Indore</t>
        </is>
      </c>
      <c r="J78" t="inlineStr">
        <is>
          <t>Onsite/Hybrid</t>
        </is>
      </c>
      <c r="K78" t="inlineStr">
        <is>
          <t>Ideal (3-6 yr)</t>
        </is>
      </c>
      <c r="L78" t="n">
        <v>165</v>
      </c>
    </row>
    <row r="79">
      <c r="A79" t="n">
        <v>113</v>
      </c>
      <c r="B79" t="inlineStr">
        <is>
          <t>Gnani Innovations</t>
        </is>
      </c>
      <c r="C79" t="inlineStr">
        <is>
          <t>Senior Backend Developer</t>
        </is>
      </c>
      <c r="D79" t="inlineStr">
        <is>
          <t>Remote</t>
        </is>
      </c>
      <c r="E79" t="inlineStr">
        <is>
          <t>Indeed</t>
        </is>
      </c>
      <c r="F79" t="inlineStr">
        <is>
          <t>2026-05-12</t>
        </is>
      </c>
      <c r="G79" s="33">
        <f>HYPERLINK("https://to.indeed.com/aag98njsn4t2","Apply")</f>
        <v/>
      </c>
      <c r="H79" t="inlineStr">
        <is>
          <t>Tight</t>
        </is>
      </c>
      <c r="I79" t="inlineStr">
        <is>
          <t>★ Refresh Voice-AI product company</t>
        </is>
      </c>
      <c r="J79" t="inlineStr">
        <is>
          <t>Remote</t>
        </is>
      </c>
      <c r="K79" t="inlineStr">
        <is>
          <t>Ideal (3-6 yr)</t>
        </is>
      </c>
      <c r="L79" t="n">
        <v>93</v>
      </c>
    </row>
    <row r="80">
      <c r="A80" t="n">
        <v>117</v>
      </c>
      <c r="B80" t="inlineStr">
        <is>
          <t>BaryTech</t>
        </is>
      </c>
      <c r="C80" t="inlineStr">
        <is>
          <t>Senior Backend Developer</t>
        </is>
      </c>
      <c r="D80" t="inlineStr">
        <is>
          <t>Gurugram</t>
        </is>
      </c>
      <c r="E80" t="inlineStr">
        <is>
          <t>Indeed</t>
        </is>
      </c>
      <c r="F80" t="inlineStr">
        <is>
          <t>2026-05-18</t>
        </is>
      </c>
      <c r="G80" s="33">
        <f>HYPERLINK("https://to.indeed.com/aawr4rpdtl4p","Apply")</f>
        <v/>
      </c>
      <c r="H80" t="inlineStr">
        <is>
          <t>Tight</t>
        </is>
      </c>
      <c r="I80" t="inlineStr">
        <is>
          <t>★ Refresh Gurugram</t>
        </is>
      </c>
      <c r="J80" t="inlineStr">
        <is>
          <t>Onsite/Hybrid</t>
        </is>
      </c>
      <c r="K80" t="inlineStr">
        <is>
          <t>Ideal (3-6 yr)</t>
        </is>
      </c>
      <c r="L80" t="n">
        <v>87</v>
      </c>
    </row>
    <row r="81">
      <c r="A81" t="n">
        <v>118</v>
      </c>
      <c r="B81" t="inlineStr">
        <is>
          <t>HighWire Press</t>
        </is>
      </c>
      <c r="C81" t="inlineStr">
        <is>
          <t>Senior Python Developer</t>
        </is>
      </c>
      <c r="D81" t="inlineStr">
        <is>
          <t>Noida</t>
        </is>
      </c>
      <c r="E81" t="inlineStr">
        <is>
          <t>Indeed</t>
        </is>
      </c>
      <c r="F81" t="inlineStr">
        <is>
          <t>2026-02-19</t>
        </is>
      </c>
      <c r="G81" s="33">
        <f>HYPERLINK("https://to.indeed.com/aah2vwd8lfpb","Apply")</f>
        <v/>
      </c>
      <c r="H81" t="inlineStr">
        <is>
          <t>Tight</t>
        </is>
      </c>
      <c r="I81" t="inlineStr">
        <is>
          <t>★ Refresh Product — academic publishing</t>
        </is>
      </c>
      <c r="J81" t="inlineStr">
        <is>
          <t>Onsite/Hybrid</t>
        </is>
      </c>
      <c r="K81" t="inlineStr">
        <is>
          <t>Ideal (3-6 yr)</t>
        </is>
      </c>
      <c r="L81" t="n">
        <v>175</v>
      </c>
    </row>
    <row r="82">
      <c r="A82" t="n">
        <v>121</v>
      </c>
      <c r="B82" t="inlineStr">
        <is>
          <t>Litost India Infotech</t>
        </is>
      </c>
      <c r="C82" t="inlineStr">
        <is>
          <t>Python Developer</t>
        </is>
      </c>
      <c r="D82" t="inlineStr">
        <is>
          <t>Greater Noida</t>
        </is>
      </c>
      <c r="E82" t="inlineStr">
        <is>
          <t>Indeed</t>
        </is>
      </c>
      <c r="F82" t="inlineStr">
        <is>
          <t>2026-02-23</t>
        </is>
      </c>
      <c r="G82" s="33">
        <f>HYPERLINK("https://to.indeed.com/aakxttshytdg","Apply")</f>
        <v/>
      </c>
      <c r="H82" t="inlineStr">
        <is>
          <t>Good</t>
        </is>
      </c>
      <c r="I82" t="inlineStr">
        <is>
          <t>★ Refresh</t>
        </is>
      </c>
      <c r="J82" t="inlineStr">
        <is>
          <t>Onsite</t>
        </is>
      </c>
      <c r="K82" t="inlineStr">
        <is>
          <t>Ideal (3-6 yr)</t>
        </is>
      </c>
      <c r="L82" t="n">
        <v>171</v>
      </c>
    </row>
    <row r="83">
      <c r="A83" t="n">
        <v>123</v>
      </c>
      <c r="B83" t="inlineStr">
        <is>
          <t>Thrifty AI</t>
        </is>
      </c>
      <c r="C83" t="inlineStr">
        <is>
          <t>Full Stack Developer</t>
        </is>
      </c>
      <c r="D83" t="inlineStr">
        <is>
          <t>Noida</t>
        </is>
      </c>
      <c r="E83" t="inlineStr">
        <is>
          <t>Indeed</t>
        </is>
      </c>
      <c r="F83" t="inlineStr">
        <is>
          <t>2026-05-06</t>
        </is>
      </c>
      <c r="G83" s="33">
        <f>HYPERLINK("https://to.indeed.com/aamvmphfy6bk","Apply")</f>
        <v/>
      </c>
      <c r="H83" t="inlineStr">
        <is>
          <t>Reasonable</t>
        </is>
      </c>
      <c r="I83" t="inlineStr">
        <is>
          <t>★ Refresh AI startup</t>
        </is>
      </c>
      <c r="J83" t="inlineStr">
        <is>
          <t>Onsite</t>
        </is>
      </c>
      <c r="K83" t="inlineStr">
        <is>
          <t>Ideal (3-6 yr)</t>
        </is>
      </c>
      <c r="L83" t="n">
        <v>99</v>
      </c>
    </row>
    <row r="84">
      <c r="A84" t="n">
        <v>125</v>
      </c>
      <c r="B84" t="inlineStr">
        <is>
          <t>AWL India</t>
        </is>
      </c>
      <c r="C84" t="inlineStr">
        <is>
          <t>Python Developer</t>
        </is>
      </c>
      <c r="D84" t="inlineStr">
        <is>
          <t>Noida</t>
        </is>
      </c>
      <c r="E84" t="inlineStr">
        <is>
          <t>Indeed</t>
        </is>
      </c>
      <c r="F84" t="inlineStr">
        <is>
          <t>2026-06-01</t>
        </is>
      </c>
      <c r="G84" s="33">
        <f>HYPERLINK("https://to.indeed.com/aawr7f8qmlxd","Apply")</f>
        <v/>
      </c>
      <c r="H84" t="inlineStr">
        <is>
          <t>Reasonable</t>
        </is>
      </c>
      <c r="I84" t="inlineStr">
        <is>
          <t>★ Refresh Part-time listed — confirm</t>
        </is>
      </c>
      <c r="J84" t="inlineStr">
        <is>
          <t>Onsite</t>
        </is>
      </c>
      <c r="K84" t="inlineStr">
        <is>
          <t>Ideal (3-6 yr)</t>
        </is>
      </c>
      <c r="L84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2026-06-15T00:19:40Z</dcterms:created>
  <dcterms:modified xmlns:dcterms="http://purl.org/dc/terms/" xmlns:xsi="http://www.w3.org/2001/XMLSchema-instance" xsi:type="dcterms:W3CDTF">2026-08-13T12:31:53Z</dcterms:modified>
</cp:coreProperties>
</file>